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tos" sheetId="1" state="visible" r:id="rId3"/>
    <sheet name="Catálogo" sheetId="2" state="visible" r:id="rId4"/>
    <sheet name="Resumen" sheetId="3" state="visible" r:id="rId5"/>
    <sheet name="Leyend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<sst xmlns="http://schemas.openxmlformats.org/spreadsheetml/2006/main" count="1851" uniqueCount="819">
  <si>
    <t xml:space="preserve">id</t>
  </si>
  <si>
    <t xml:space="preserve">texto</t>
  </si>
  <si>
    <t xml:space="preserve">variante_corta</t>
  </si>
  <si>
    <t xml:space="preserve">virtud</t>
  </si>
  <si>
    <t xml:space="preserve">subcomponente</t>
  </si>
  <si>
    <t xml:space="preserve">facultad</t>
  </si>
  <si>
    <t xml:space="preserve">ambito</t>
  </si>
  <si>
    <t xml:space="preserve">tipo</t>
  </si>
  <si>
    <t xml:space="preserve">intensidad</t>
  </si>
  <si>
    <t xml:space="preserve">minutos_estimados</t>
  </si>
  <si>
    <t xml:space="preserve">requiere_otra_persona</t>
  </si>
  <si>
    <t xml:space="preserve">disparador_contextual</t>
  </si>
  <si>
    <t xml:space="preserve">dif_colerico</t>
  </si>
  <si>
    <t xml:space="preserve">dif_melancolico</t>
  </si>
  <si>
    <t xml:space="preserve">dif_sanguineo</t>
  </si>
  <si>
    <t xml:space="preserve">dif_flematico</t>
  </si>
  <si>
    <t xml:space="preserve">obstaculo_que_combate</t>
  </si>
  <si>
    <t xml:space="preserve">repetible</t>
  </si>
  <si>
    <t xml:space="preserve">pregunta_examen</t>
  </si>
  <si>
    <t xml:space="preserve">fuente_libro</t>
  </si>
  <si>
    <t xml:space="preserve">fuente_seccion</t>
  </si>
  <si>
    <t xml:space="preserve">cita_literal</t>
  </si>
  <si>
    <t xml:space="preserve">pru-01</t>
  </si>
  <si>
    <t xml:space="preserve">Antes de tomar hoy una decisión que afecte a otros, pide la opinión de al menos una persona y escúchala hasta el final sin interrumpir.</t>
  </si>
  <si>
    <t xml:space="preserve">Pide consejo antes de decidir</t>
  </si>
  <si>
    <t xml:space="preserve">prudencia</t>
  </si>
  <si>
    <t xml:space="preserve">deliberacion</t>
  </si>
  <si>
    <t xml:space="preserve">razon</t>
  </si>
  <si>
    <t xml:space="preserve">trabajo</t>
  </si>
  <si>
    <t xml:space="preserve">accion</t>
  </si>
  <si>
    <t xml:space="preserve">sí</t>
  </si>
  <si>
    <t xml:space="preserve">reunión o decisión del día</t>
  </si>
  <si>
    <t xml:space="preserve">autosatisfacción</t>
  </si>
  <si>
    <t xml:space="preserve">¿Pedí consejo antes de decidir? Si no, ¿fue por prisa (primera reacción) o porque decidí no hacerlo?</t>
  </si>
  <si>
    <t xml:space="preserve">Del temperamento al carácter</t>
  </si>
  <si>
    <t xml:space="preserve">3. El colérico: su desafío personal</t>
  </si>
  <si>
    <t xml:space="preserve">debe aprender a pedir consejo de forma habitual</t>
  </si>
  <si>
    <t xml:space="preserve">pru-02</t>
  </si>
  <si>
    <t xml:space="preserve">Hoy toma una decisión que llevas aplazando. Fija la hora, decide y comunícala, aunque no tengas toda la información.</t>
  </si>
  <si>
    <t xml:space="preserve">Decide hoy lo aplazado</t>
  </si>
  <si>
    <t xml:space="preserve">decision</t>
  </si>
  <si>
    <t xml:space="preserve">no</t>
  </si>
  <si>
    <t xml:space="preserve">asunto pendiente que se arrastra</t>
  </si>
  <si>
    <t xml:space="preserve">perfeccionismo</t>
  </si>
  <si>
    <t xml:space="preserve">¿Decidí? Si no, ¿qué certeza estaba esperando y era razonable esperarla?</t>
  </si>
  <si>
    <t xml:space="preserve">4. El melancólico: su desafío personal</t>
  </si>
  <si>
    <t xml:space="preserve">El objetivo de la prudencia no es deliberar, sino decidir</t>
  </si>
  <si>
    <t xml:space="preserve">pru-03</t>
  </si>
  <si>
    <t xml:space="preserve">Antes de dar por buena una información importante hoy, pregúntate de dónde viene y si es un hecho o una opinión. Anótalo.</t>
  </si>
  <si>
    <t xml:space="preserve">Distingue hechos de opiniones</t>
  </si>
  <si>
    <t xml:space="preserve">noticia, informe o rumor recibido</t>
  </si>
  <si>
    <t xml:space="preserve">¿Separé hechos de opiniones antes de decidir o repetí lo que oí?</t>
  </si>
  <si>
    <t xml:space="preserve">Creado para la grandeza</t>
  </si>
  <si>
    <t xml:space="preserve">Pasos prácticos: Prudencia</t>
  </si>
  <si>
    <t xml:space="preserve">¿Hago distinciones entre hechos y opiniones, verdades y medias verdades?</t>
  </si>
  <si>
    <t xml:space="preserve">pru-04</t>
  </si>
  <si>
    <t xml:space="preserve">Identifica hoy una verdad incómoda que estás evitando mirar (sobre un proyecto, una relación, tu salud). Escríbela en una frase.</t>
  </si>
  <si>
    <t xml:space="preserve">Mira la verdad incómoda</t>
  </si>
  <si>
    <t xml:space="preserve">vida interior</t>
  </si>
  <si>
    <t xml:space="preserve">contemplacion</t>
  </si>
  <si>
    <t xml:space="preserve">conformismo</t>
  </si>
  <si>
    <t xml:space="preserve">¿Escribí la verdad incómoda tal como es, sin suavizarla?</t>
  </si>
  <si>
    <t xml:space="preserve">¿Rechazo las verdades que me cuesta aceptar?</t>
  </si>
  <si>
    <t xml:space="preserve">pru-05</t>
  </si>
  <si>
    <t xml:space="preserve">Cuando algo salga mal hoy, nombra tu parte de responsabilidad en voz alta o por escrito antes de hablar de la de los demás.</t>
  </si>
  <si>
    <t xml:space="preserve">Asume tu parte primero</t>
  </si>
  <si>
    <t xml:space="preserve">error o contratiempo</t>
  </si>
  <si>
    <t xml:space="preserve">¿Nombré mi responsabilidad antes de señalar a otros?</t>
  </si>
  <si>
    <t xml:space="preserve">Si las cosas van mal, ¿evito acusar a los demás?</t>
  </si>
  <si>
    <t xml:space="preserve">pru-06</t>
  </si>
  <si>
    <t xml:space="preserve">Hoy, antes de responder a una propuesta ajena, repite con tus palabras lo que la otra persona ha dicho y pregúntale si lo has entendido bien.</t>
  </si>
  <si>
    <t xml:space="preserve">Repite antes de responder</t>
  </si>
  <si>
    <t xml:space="preserve">conversación con desacuerdo</t>
  </si>
  <si>
    <t xml:space="preserve">¿Comprobé que había entendido antes de responder?</t>
  </si>
  <si>
    <t xml:space="preserve">Precisa humildad para escuchar a las personas y comprenderlas</t>
  </si>
  <si>
    <t xml:space="preserve">pru-07</t>
  </si>
  <si>
    <t xml:space="preserve">Elige una decisión pequeña que te esté costando y date un límite: diez minutos de reflexión y luego actúa, pase lo que pase.</t>
  </si>
  <si>
    <t xml:space="preserve">Diez minutos y actúa</t>
  </si>
  <si>
    <t xml:space="preserve">indecisión ante algo menor</t>
  </si>
  <si>
    <t xml:space="preserve">¿Respeté el límite de tiempo y actué?</t>
  </si>
  <si>
    <t xml:space="preserve">Hamlet siempre le falta información</t>
  </si>
  <si>
    <t xml:space="preserve">pru-08</t>
  </si>
  <si>
    <t xml:space="preserve">Pregunta hoy a alguien con más experiencia cómo resolvió una situación parecida a la que tienes entre manos.</t>
  </si>
  <si>
    <t xml:space="preserve">Aprende de la experiencia ajena</t>
  </si>
  <si>
    <t xml:space="preserve">problema nuevo</t>
  </si>
  <si>
    <t xml:space="preserve">¿Pregunté y escuché, o preferí resolverlo solo?</t>
  </si>
  <si>
    <t xml:space="preserve">¿Soy lo bastante humilde como para aprender de la experiencia ajena?</t>
  </si>
  <si>
    <t xml:space="preserve">pru-09</t>
  </si>
  <si>
    <t xml:space="preserve">Antes de una decisión de hoy, enumera por escrito las tres dificultades reales y tacha las que solo existen en tu imaginación.</t>
  </si>
  <si>
    <t xml:space="preserve">Tacha los problemas imaginarios</t>
  </si>
  <si>
    <t xml:space="preserve">preocupación recurrente</t>
  </si>
  <si>
    <t xml:space="preserve">¿Cuántas dificultades quedaron tras tachar? ¿Era tan grave como sentía?</t>
  </si>
  <si>
    <t xml:space="preserve">El 90% de los problemas que me hacen sentir mal solo existen en mi imaginación</t>
  </si>
  <si>
    <t xml:space="preserve">pru-10</t>
  </si>
  <si>
    <t xml:space="preserve">Hoy, en un asunto donde estás seguro de tener razón, busca activamente un dato o argumento que te contradiga.</t>
  </si>
  <si>
    <t xml:space="preserve">Busca lo que te contradice</t>
  </si>
  <si>
    <t xml:space="preserve">convicción fuerte</t>
  </si>
  <si>
    <t xml:space="preserve">¿Encontré algo que me contradijera y lo tuve en cuenta?</t>
  </si>
  <si>
    <t xml:space="preserve">¿Soy suficientemente humilde como para reconocer y dejar a un lado mis prejuicios?</t>
  </si>
  <si>
    <t xml:space="preserve">pru-11</t>
  </si>
  <si>
    <t xml:space="preserve">Antes de aceptar una propuesta que te entusiasma, enumera tres razones por las que podría no funcionar.</t>
  </si>
  <si>
    <t xml:space="preserve">Enfría el entusiasmo con datos</t>
  </si>
  <si>
    <t xml:space="preserve">propuesta atractiva</t>
  </si>
  <si>
    <t xml:space="preserve">¿Pensé seriamente en lo que podía fallar o dije 'esto va a funcionar' sin más?</t>
  </si>
  <si>
    <t xml:space="preserve">5. El sanguíneo: su desafío personal</t>
  </si>
  <si>
    <t xml:space="preserve">debe esforzarse por vencer la superficialidad</t>
  </si>
  <si>
    <t xml:space="preserve">pru-12</t>
  </si>
  <si>
    <t xml:space="preserve">Una vez tomada una decisión hoy, ponla en marcha antes de que acabe el día: un correo, una llamada, un primer paso.</t>
  </si>
  <si>
    <t xml:space="preserve">Ejecuta la decisión hoy</t>
  </si>
  <si>
    <t xml:space="preserve">decisión reciente</t>
  </si>
  <si>
    <t xml:space="preserve">¿Di el primer paso el mismo día?</t>
  </si>
  <si>
    <t xml:space="preserve">7. Desarrollo de la audacia</t>
  </si>
  <si>
    <t xml:space="preserve">No tardes en poner por obra tus decisiones</t>
  </si>
  <si>
    <t xml:space="preserve">aud-01</t>
  </si>
  <si>
    <t xml:space="preserve">Hoy propón en voz alta una idea que llevas tiempo guardando, en una reunión o a alguien con capacidad de decidir.</t>
  </si>
  <si>
    <t xml:space="preserve">Di la idea que guardas</t>
  </si>
  <si>
    <t xml:space="preserve">fortaleza</t>
  </si>
  <si>
    <t xml:space="preserve">audacia</t>
  </si>
  <si>
    <t xml:space="preserve">voluntad</t>
  </si>
  <si>
    <t xml:space="preserve">reunión de equipo</t>
  </si>
  <si>
    <t xml:space="preserve">¿Dije mi idea? Si no, ¿qué temía exactamente?</t>
  </si>
  <si>
    <t xml:space="preserve">Comparte con todo el mundo lo que tienes en tu interior</t>
  </si>
  <si>
    <t xml:space="preserve">aud-02</t>
  </si>
  <si>
    <t xml:space="preserve">Inicia hoy una conversación con alguien que no conoces o con quien hace tiempo que no hablas.</t>
  </si>
  <si>
    <t xml:space="preserve">Habla con alguien nuevo</t>
  </si>
  <si>
    <t xml:space="preserve">amistad</t>
  </si>
  <si>
    <t xml:space="preserve">¿Fui yo quien inició la conversación?</t>
  </si>
  <si>
    <t xml:space="preserve">No te aísles. Ve al encuentro de la gente</t>
  </si>
  <si>
    <t xml:space="preserve">aud-03</t>
  </si>
  <si>
    <t xml:space="preserve">Toma hoy una decisión que implique un riesgo razonable en tu vida profesional y que venías evitando por miedo a equivocarte.</t>
  </si>
  <si>
    <t xml:space="preserve">Asume un riesgo razonable</t>
  </si>
  <si>
    <t xml:space="preserve">oportunidad que da miedo</t>
  </si>
  <si>
    <t xml:space="preserve">¿Asumí el riesgo? ¿Lo que me frenaba era prudencia o miedo a equivocarme?</t>
  </si>
  <si>
    <t xml:space="preserve">6. El flemático: su desafío personal</t>
  </si>
  <si>
    <t xml:space="preserve">Debe practicar la audacia, porque la esencia de la prudencia no es la deliberación, sino la decisión</t>
  </si>
  <si>
    <t xml:space="preserve">aud-04</t>
  </si>
  <si>
    <t xml:space="preserve">Hoy trata de frente un asunto difícil con una persona concreta, en lugar de rodearlo o posponerlo.</t>
  </si>
  <si>
    <t xml:space="preserve">Trata lo difícil de frente</t>
  </si>
  <si>
    <t xml:space="preserve">conflicto latente</t>
  </si>
  <si>
    <t xml:space="preserve">¿Abordé el asunto directamente?</t>
  </si>
  <si>
    <t xml:space="preserve">Pasos prácticos: Fortaleza</t>
  </si>
  <si>
    <t xml:space="preserve">¿Reúno el valor para tratar directamente asuntos difíciles?</t>
  </si>
  <si>
    <t xml:space="preserve">aud-05</t>
  </si>
  <si>
    <t xml:space="preserve">Escribe tu misión en una frase y léela en voz alta antes de empezar el día. Si no la tienes, escribe hoy un primer borrador.</t>
  </si>
  <si>
    <t xml:space="preserve">Lee tu misión en voz alta</t>
  </si>
  <si>
    <t xml:space="preserve">inicio del día</t>
  </si>
  <si>
    <t xml:space="preserve">¿Recordé mi misión y cambió algo en cómo actué?</t>
  </si>
  <si>
    <t xml:space="preserve">Transforma tu sueño en misión y recuérdate esta misión cada día</t>
  </si>
  <si>
    <t xml:space="preserve">aud-06</t>
  </si>
  <si>
    <t xml:space="preserve">Comete hoy un error a propósito de ser rápido: entrega, publica o envía algo al 80 % de perfección en lugar de pulirlo más.</t>
  </si>
  <si>
    <t xml:space="preserve">Entrega al 80 %</t>
  </si>
  <si>
    <t xml:space="preserve">tarea que llevas puliendo</t>
  </si>
  <si>
    <t xml:space="preserve">¿Entregué sin esperar la perfección? ¿Qué pasó?</t>
  </si>
  <si>
    <t xml:space="preserve">Cuanto mejor es un hombre, tantos más errores comete</t>
  </si>
  <si>
    <t xml:space="preserve">aud-07</t>
  </si>
  <si>
    <t xml:space="preserve">Defiende hoy tu punto de vista ante alguien con más autoridad que tú, con respeto y sin ceder por comodidad.</t>
  </si>
  <si>
    <t xml:space="preserve">Defiende tu postura ante autoridad</t>
  </si>
  <si>
    <t xml:space="preserve">desacuerdo con un superior</t>
  </si>
  <si>
    <t xml:space="preserve">¿Dije lo que pensaba o callé para evitar el conflicto?</t>
  </si>
  <si>
    <t xml:space="preserve">Evita los conflictos a cualquier precio</t>
  </si>
  <si>
    <t xml:space="preserve">aud-08</t>
  </si>
  <si>
    <t xml:space="preserve">Hoy haz algo que te saque de tu rutina habitual: un camino distinto, un plan nuevo, una propuesta a tu familia.</t>
  </si>
  <si>
    <t xml:space="preserve">Rompe la rutina hoy</t>
  </si>
  <si>
    <t xml:space="preserve">familia</t>
  </si>
  <si>
    <t xml:space="preserve">¿Salí del statu quo por decisión propia?</t>
  </si>
  <si>
    <t xml:space="preserve">le gusta el statu quo, la seguridad, la rutina</t>
  </si>
  <si>
    <t xml:space="preserve">aud-09</t>
  </si>
  <si>
    <t xml:space="preserve">Anima hoy a alguien de tu entorno a asumir un riesgo que le conviene, y ofrécele tu apoyo concreto.</t>
  </si>
  <si>
    <t xml:space="preserve">Anima a otro a arriesgar</t>
  </si>
  <si>
    <t xml:space="preserve">colaborador indeciso</t>
  </si>
  <si>
    <t xml:space="preserve">¿Animé a alguien a arriesgar en vez de protegerle?</t>
  </si>
  <si>
    <t xml:space="preserve">¿Animo a otros a correr riesgos?</t>
  </si>
  <si>
    <t xml:space="preserve">aud-10</t>
  </si>
  <si>
    <t xml:space="preserve">Da hoy un paso visible hacia un sueño que tienes aparcado: una llamada, una inscripción, un primer borrador.</t>
  </si>
  <si>
    <t xml:space="preserve">Un paso hacia el sueño aparcado</t>
  </si>
  <si>
    <t xml:space="preserve">impaciencia</t>
  </si>
  <si>
    <t xml:space="preserve">¿Di el paso? ¿Qué excusa estuvo a punto de impedirlo?</t>
  </si>
  <si>
    <t xml:space="preserve">Coaching con Juana de Arco</t>
  </si>
  <si>
    <t xml:space="preserve">4ª sesión: Hazte un plan de crecimiento</t>
  </si>
  <si>
    <t xml:space="preserve">Aprende a soñar</t>
  </si>
  <si>
    <t xml:space="preserve">aud-11</t>
  </si>
  <si>
    <t xml:space="preserve">Cuando te veas pensando «¿quién soy yo para…?», completa la frase con lo que harías si no tuvieras miedo y hazlo hoy en versión pequeña.</t>
  </si>
  <si>
    <t xml:space="preserve">Actúa pese al '¿quién soy yo?'</t>
  </si>
  <si>
    <t xml:space="preserve">momento de pusilanimidad</t>
  </si>
  <si>
    <t xml:space="preserve">¿Detecté el pensamiento y actué a pesar de él?</t>
  </si>
  <si>
    <t xml:space="preserve">3ª sesión: Humildad y magnanimidad</t>
  </si>
  <si>
    <t xml:space="preserve">Identifica los momentos de tu vida en los que te paralizaste por la modestia</t>
  </si>
  <si>
    <t xml:space="preserve">res-01</t>
  </si>
  <si>
    <t xml:space="preserve">Termina hoy la tarea que tienes a medias antes de empezar ninguna nueva, cuidando los detalles finales.</t>
  </si>
  <si>
    <t xml:space="preserve">Termina lo que tienes a medias</t>
  </si>
  <si>
    <t xml:space="preserve">resistencia</t>
  </si>
  <si>
    <t xml:space="preserve">tarea empezada y abandonada</t>
  </si>
  <si>
    <t xml:space="preserve">¿La terminé del todo, con los detalles, o la dejé 'casi'?</t>
  </si>
  <si>
    <t xml:space="preserve">7. Desarrolla la resistencia</t>
  </si>
  <si>
    <t xml:space="preserve">Termina el trabajo que te ocupa actualmente, cuidando los detalles</t>
  </si>
  <si>
    <t xml:space="preserve">res-02</t>
  </si>
  <si>
    <t xml:space="preserve">Haz hoy primero lo importante y deja lo agradable para después, aunque lo agradable sea más urgente en apariencia.</t>
  </si>
  <si>
    <t xml:space="preserve">Lo importante antes que lo agradable</t>
  </si>
  <si>
    <t xml:space="preserve">inicio de la jornada</t>
  </si>
  <si>
    <t xml:space="preserve">¿Empecé por lo importante o por lo que me apetecía?</t>
  </si>
  <si>
    <t xml:space="preserve">Haz primero lo que es importante, y, lo que es agradable, hazlo después</t>
  </si>
  <si>
    <t xml:space="preserve">res-03</t>
  </si>
  <si>
    <t xml:space="preserve">Sonríe hoy a alguien aunque no tengas ganas, y mantén el buen humor ante la primera contrariedad del día.</t>
  </si>
  <si>
    <t xml:space="preserve">Sonríe sin ganas</t>
  </si>
  <si>
    <t xml:space="preserve">mal humor matinal</t>
  </si>
  <si>
    <t xml:space="preserve">¿Sonreí y mantuve el humor ante la contrariedad?</t>
  </si>
  <si>
    <t xml:space="preserve">Sonríe aunque no tengas ninguna gana</t>
  </si>
  <si>
    <t xml:space="preserve">res-04</t>
  </si>
  <si>
    <t xml:space="preserve">Sé especialmente amable hoy con la persona que más te carga o te irrita.</t>
  </si>
  <si>
    <t xml:space="preserve">Amable con quien te irrita</t>
  </si>
  <si>
    <t xml:space="preserve">encuentro con persona difícil</t>
  </si>
  <si>
    <t xml:space="preserve">falta de realismo</t>
  </si>
  <si>
    <t xml:space="preserve">¿Fui amable de verdad o solo correcto? ¿Qué me costó más?</t>
  </si>
  <si>
    <t xml:space="preserve">Sé amable con los que te cargan</t>
  </si>
  <si>
    <t xml:space="preserve">res-05</t>
  </si>
  <si>
    <t xml:space="preserve">Si hoy te llega una crítica o un comentario sobre ti, tómatelo con humor y no te defiendas.</t>
  </si>
  <si>
    <t xml:space="preserve">Ríete de lo que digan de ti</t>
  </si>
  <si>
    <t xml:space="preserve">omision</t>
  </si>
  <si>
    <t xml:space="preserve">crítica recibida</t>
  </si>
  <si>
    <t xml:space="preserve">¿Me reí o me defendí? ¿Cuánto duró el escozor?</t>
  </si>
  <si>
    <t xml:space="preserve">Acostúmbrate a tomarte en broma lo que otros dicen de ti</t>
  </si>
  <si>
    <t xml:space="preserve">res-06</t>
  </si>
  <si>
    <t xml:space="preserve">Juega o dedica tiempo de verdad a tus hijos (o a alguien de tu familia) hoy, aunque llegues agotado.</t>
  </si>
  <si>
    <t xml:space="preserve">Juega aunque estés agotado</t>
  </si>
  <si>
    <t xml:space="preserve">llegada a casa cansado</t>
  </si>
  <si>
    <t xml:space="preserve">¿Les dediqué tiempo real, sin móvil, a pesar del cansancio?</t>
  </si>
  <si>
    <t xml:space="preserve">Juega con tus hijos aunque estés muerto de cansancio</t>
  </si>
  <si>
    <t xml:space="preserve">res-07</t>
  </si>
  <si>
    <t xml:space="preserve">Come hoy lo que te sirvan, sin quejas ni caprichos, y no comentes lo que no te gusta.</t>
  </si>
  <si>
    <t xml:space="preserve">Come sin caprichos</t>
  </si>
  <si>
    <t xml:space="preserve">cuerpo</t>
  </si>
  <si>
    <t xml:space="preserve">comida en casa o fuera</t>
  </si>
  <si>
    <t xml:space="preserve">¿Comí lo servido sin comentar ni rechazar?</t>
  </si>
  <si>
    <t xml:space="preserve">Come lo que te sirvan, sin caprichos</t>
  </si>
  <si>
    <t xml:space="preserve">res-08</t>
  </si>
  <si>
    <t xml:space="preserve">Corrige hoy a alguien a tu cargo sobre algo que llevas tiempo dejando pasar, con caridad y sin rodeos.</t>
  </si>
  <si>
    <t xml:space="preserve">Corrige lo que llevas callando</t>
  </si>
  <si>
    <t xml:space="preserve">error repetido de un colaborador</t>
  </si>
  <si>
    <t xml:space="preserve">¿Corregí con claridad y con afecto? ¿Qué me frenaba?</t>
  </si>
  <si>
    <t xml:space="preserve">Corrige a tus subordinados (con caridad), incluso si te cuesta</t>
  </si>
  <si>
    <t xml:space="preserve">res-09</t>
  </si>
  <si>
    <t xml:space="preserve">Soporta hoy con buen humor una contrariedad concreta (retraso, cambio de planes, fallo técnico) sin quejarte en voz alta.</t>
  </si>
  <si>
    <t xml:space="preserve">Contrariedad sin queja</t>
  </si>
  <si>
    <t xml:space="preserve">imprevisto</t>
  </si>
  <si>
    <t xml:space="preserve">¿Me quejé en voz alta? ¿Cuántas veces?</t>
  </si>
  <si>
    <t xml:space="preserve">Soporta con buen humor las contrariedades, grandes y pequeñas</t>
  </si>
  <si>
    <t xml:space="preserve">res-10</t>
  </si>
  <si>
    <t xml:space="preserve">Retoma hoy un proyecto personal que abandonaste y trabaja en él 25 minutos sin interrupciones.</t>
  </si>
  <si>
    <t xml:space="preserve">Retoma el proyecto abandonado</t>
  </si>
  <si>
    <t xml:space="preserve">¿Trabajé los 25 minutos completos?</t>
  </si>
  <si>
    <t xml:space="preserve">Debe esforzarse por poner la última piedra en cada uno de sus proyectos</t>
  </si>
  <si>
    <t xml:space="preserve">res-11</t>
  </si>
  <si>
    <t xml:space="preserve">Cumple hoy una promesa pequeña que hiciste y que te tienta no cumplir (una llamada, un favor, una hora acordada).</t>
  </si>
  <si>
    <t xml:space="preserve">Cumple la promesa pequeña</t>
  </si>
  <si>
    <t xml:space="preserve">compromiso adquirido</t>
  </si>
  <si>
    <t xml:space="preserve">¿Cumplí exactamente lo prometido y a tiempo?</t>
  </si>
  <si>
    <t xml:space="preserve">Ha de practicar las virtudes de la resistencia y la fidelidad</t>
  </si>
  <si>
    <t xml:space="preserve">res-12</t>
  </si>
  <si>
    <t xml:space="preserve">Mantén hoy una decisión ya tomada aunque surja oposición, sin reabrirla por comodidad.</t>
  </si>
  <si>
    <t xml:space="preserve">Mantén la decisión ante oposición</t>
  </si>
  <si>
    <t xml:space="preserve">crítica a una decisión</t>
  </si>
  <si>
    <t xml:space="preserve">¿Mantuve el rumbo o cedí para evitar fricción?</t>
  </si>
  <si>
    <t xml:space="preserve">¿Continúo fiel a mis decisiones sin importarme lo difícil que sea el camino?</t>
  </si>
  <si>
    <t xml:space="preserve">res-13</t>
  </si>
  <si>
    <t xml:space="preserve">Defiende hoy la reputación de alguien ausente si oyes que se le critica injustamente.</t>
  </si>
  <si>
    <t xml:space="preserve">Defiende al ausente</t>
  </si>
  <si>
    <t xml:space="preserve">crítica a un ausente</t>
  </si>
  <si>
    <t xml:space="preserve">¿Salí en su defensa o callé para no incomodar?</t>
  </si>
  <si>
    <t xml:space="preserve">¿Defiendo la reputación de quienes son víctima de rumores maliciosos?</t>
  </si>
  <si>
    <t xml:space="preserve">res-14</t>
  </si>
  <si>
    <t xml:space="preserve">Dedica hoy un rato a una tarea tediosa pero necesaria que llevas evitando, y hazla bien hasta el final.</t>
  </si>
  <si>
    <t xml:space="preserve">La tarea tediosa, hasta el final</t>
  </si>
  <si>
    <t xml:space="preserve">¿La terminé con cuidado o la despaché deprisa?</t>
  </si>
  <si>
    <t xml:space="preserve">Liderazgo virtuoso</t>
  </si>
  <si>
    <t xml:space="preserve">Capítulo 4: Justicia y deberes ordinarios</t>
  </si>
  <si>
    <t xml:space="preserve">Los líderes buscan la perfección en su trabajo</t>
  </si>
  <si>
    <t xml:space="preserve">res-15</t>
  </si>
  <si>
    <t xml:space="preserve">Vive cada hora de hoy como un capítulo nuevo: si fallas en algo por la mañana, empieza de cero por la tarde sin arrastrar el desánimo.</t>
  </si>
  <si>
    <t xml:space="preserve">Empieza de cero tras fallar</t>
  </si>
  <si>
    <t xml:space="preserve">fallo o error propio</t>
  </si>
  <si>
    <t xml:space="preserve">Tras un fallo, ¿me levanté rápido o me quedé en el desánimo?</t>
  </si>
  <si>
    <t xml:space="preserve">Capítulo 2: Un programa para ganar</t>
  </si>
  <si>
    <t xml:space="preserve">Debemos considerar cada día, cada hora, como un nuevo capítulo de nuestra vida</t>
  </si>
  <si>
    <t xml:space="preserve">dom-01</t>
  </si>
  <si>
    <t xml:space="preserve">Si hoy te contradicen, cuenta hasta diez antes de responder y hazlo en un tono más bajo del que te pide el cuerpo.</t>
  </si>
  <si>
    <t xml:space="preserve">Diez segundos antes de responder</t>
  </si>
  <si>
    <t xml:space="preserve">dominio de sí</t>
  </si>
  <si>
    <t xml:space="preserve">opinión contraria a la tuya</t>
  </si>
  <si>
    <t xml:space="preserve">¿Conté y bajé el tono? ¿La primera reacción fue física o decidí reaccionar así?</t>
  </si>
  <si>
    <t xml:space="preserve">no interpretar la opinión del otro como una declaración de guerra</t>
  </si>
  <si>
    <t xml:space="preserve">dom-02</t>
  </si>
  <si>
    <t xml:space="preserve">Hoy no uses lenguaje vulgar ni alces la voz, pase lo que pase.</t>
  </si>
  <si>
    <t xml:space="preserve">Ni gritos ni palabrotas</t>
  </si>
  <si>
    <t xml:space="preserve">¿Alcé la voz o usé lenguaje vulgar? ¿En qué momento?</t>
  </si>
  <si>
    <t xml:space="preserve">Pasos prácticos: Templanza</t>
  </si>
  <si>
    <t xml:space="preserve">¿Reacciono con calma y cortesía a la crítica, sin alzar la voz ni usar lenguaje vulgar?</t>
  </si>
  <si>
    <t xml:space="preserve">dom-03</t>
  </si>
  <si>
    <t xml:space="preserve">Elige una comodidad pequeña a la que renunciar hoy (azúcar, redes sociales, la siesta, el ascensor) y cúmplelo.</t>
  </si>
  <si>
    <t xml:space="preserve">Renuncia a una comodidad</t>
  </si>
  <si>
    <t xml:space="preserve">¿Cumplí la renuncia todo el día?</t>
  </si>
  <si>
    <t xml:space="preserve">Capítulo 3: Dominio de sí</t>
  </si>
  <si>
    <t xml:space="preserve">aprender a decir que no a todo lo que es perjudicial o constituye una pérdida de tiempo</t>
  </si>
  <si>
    <t xml:space="preserve">dom-04</t>
  </si>
  <si>
    <t xml:space="preserve">Hoy, cuando algo brillante te tiente (compra, novedad, notificación), espera una hora antes de atenderlo.</t>
  </si>
  <si>
    <t xml:space="preserve">Espera una hora ante lo brillante</t>
  </si>
  <si>
    <t xml:space="preserve">impulso de compra o novedad</t>
  </si>
  <si>
    <t xml:space="preserve">¿Esperé la hora? ¿Seguía queriéndolo después?</t>
  </si>
  <si>
    <t xml:space="preserve">le atrae, como la urraca, todo lo que brilla</t>
  </si>
  <si>
    <t xml:space="preserve">dom-05</t>
  </si>
  <si>
    <t xml:space="preserve">Hoy haz lo que deberías en lugar de lo que te apetece en al menos un momento concreto, y anótalo.</t>
  </si>
  <si>
    <t xml:space="preserve">Lo que debo, no lo que me apetece</t>
  </si>
  <si>
    <t xml:space="preserve">¿En qué momento elegí el deber sobre el gusto?</t>
  </si>
  <si>
    <t xml:space="preserve">¿Hago lo que «me gusta» hacer, o más bien lo que «debería»?</t>
  </si>
  <si>
    <t xml:space="preserve">dom-06</t>
  </si>
  <si>
    <t xml:space="preserve">Revisa hoy tu consumo de pantallas e información: elimina una fuente que solo satisface curiosidad y no te hace mejor.</t>
  </si>
  <si>
    <t xml:space="preserve">Elimina una fuente de ruido</t>
  </si>
  <si>
    <t xml:space="preserve">cultura</t>
  </si>
  <si>
    <t xml:space="preserve">¿Qué fuente eliminé? ¿Qué sentí al hacerlo?</t>
  </si>
  <si>
    <t xml:space="preserve">Capítulo 3: Studiositas frente a curiositas</t>
  </si>
  <si>
    <t xml:space="preserve">Los líderes son estudiosos, no curiosos</t>
  </si>
  <si>
    <t xml:space="preserve">dom-07</t>
  </si>
  <si>
    <t xml:space="preserve">Cuando sientas envidia hoy por el éxito de alguien, dale las gracias o felicítale de forma concreta.</t>
  </si>
  <si>
    <t xml:space="preserve">Convierte la envidia en gratitud</t>
  </si>
  <si>
    <t xml:space="preserve">éxito ajeno</t>
  </si>
  <si>
    <t xml:space="preserve">¿Felicité de verdad? ¿Qué sentí al hacerlo?</t>
  </si>
  <si>
    <t xml:space="preserve">Capítulo 3: Gratitud frente a envidia</t>
  </si>
  <si>
    <t xml:space="preserve">Los líderes practican la virtud de la gratitud, que es opuesta a la envidia</t>
  </si>
  <si>
    <t xml:space="preserve">dom-08</t>
  </si>
  <si>
    <t xml:space="preserve">Cuando hoy te invada la tristeza o la ansiedad, di en voz baja «esto no es tan grave como parece» y haz la siguiente tarea.</t>
  </si>
  <si>
    <t xml:space="preserve">Nombra la ansiedad y sigue</t>
  </si>
  <si>
    <t xml:space="preserve">bajón emocional</t>
  </si>
  <si>
    <t xml:space="preserve">¿Lo hice? ¿Pude seguir trabajando?</t>
  </si>
  <si>
    <t xml:space="preserve">El pesimismo y la ansiedad pueden vencerse por medio del realismo</t>
  </si>
  <si>
    <t xml:space="preserve">dom-09</t>
  </si>
  <si>
    <t xml:space="preserve">Hoy no critiques a nadie que no esté presente, ni siquiera en tu cabeza. Si lo haces, para y piensa algo bueno de esa persona.</t>
  </si>
  <si>
    <t xml:space="preserve">Cero críticas al ausente</t>
  </si>
  <si>
    <t xml:space="preserve">¿Cuántas veces critiqué a un ausente, aunque fuera mentalmente?</t>
  </si>
  <si>
    <t xml:space="preserve">Tiene tendencia a criticar a sus colegas (aunque solo sea internamente)</t>
  </si>
  <si>
    <t xml:space="preserve">dom-10</t>
  </si>
  <si>
    <t xml:space="preserve">Perdona hoy una ofensa concreta que guardas y hazlo visible: un saludo, un mensaje, un gesto normal con esa persona.</t>
  </si>
  <si>
    <t xml:space="preserve">Suelta una ofensa guardada</t>
  </si>
  <si>
    <t xml:space="preserve">persona con la que tienes rencor</t>
  </si>
  <si>
    <t xml:space="preserve">¿Hice el gesto? ¿Qué me costó más, la decisión o la ejecución?</t>
  </si>
  <si>
    <t xml:space="preserve">le cuesta olvidar las ofensas sufridas</t>
  </si>
  <si>
    <t xml:space="preserve">dom-11</t>
  </si>
  <si>
    <t xml:space="preserve">Agradece hoy en voz alta la ayuda de tres personas distintas, nombrando qué hicieron.</t>
  </si>
  <si>
    <t xml:space="preserve">Agradece tres veces</t>
  </si>
  <si>
    <t xml:space="preserve">¿A quién agradecí y por qué concreto?</t>
  </si>
  <si>
    <t xml:space="preserve">Dan las gracias y recompensan a las personas por sus esfuerzos</t>
  </si>
  <si>
    <t xml:space="preserve">dom-12</t>
  </si>
  <si>
    <t xml:space="preserve">Elige hoy una pasión noble que tienes dormida (una causa, un proyecto de servicio, un arte) y dedícale 20 minutos.</t>
  </si>
  <si>
    <t xml:space="preserve">Despierta una pasión noble</t>
  </si>
  <si>
    <t xml:space="preserve">¿Le dediqué el tiempo? ¿Qué se despertó?</t>
  </si>
  <si>
    <t xml:space="preserve">Debe estimular sus pasiones nobles</t>
  </si>
  <si>
    <t xml:space="preserve">dom-13</t>
  </si>
  <si>
    <t xml:space="preserve">Detecta hoy en qué momento actúas por el placer de actuar y para hoy cinco minutos a preguntarte para qué lo haces.</t>
  </si>
  <si>
    <t xml:space="preserve">Para y pregunta para qué</t>
  </si>
  <si>
    <t xml:space="preserve">jornada muy cargada</t>
  </si>
  <si>
    <t xml:space="preserve">¿Paré? ¿Encontré el 'para qué' o seguí por inercia?</t>
  </si>
  <si>
    <t xml:space="preserve">Son muchos los coléricos que actúan por el placer de actuar</t>
  </si>
  <si>
    <t xml:space="preserve">dom-14</t>
  </si>
  <si>
    <t xml:space="preserve">Hoy guarda un pequeño silencio cuando tengas ganas de opinar sobre algo que no te incumbe.</t>
  </si>
  <si>
    <t xml:space="preserve">Calla cuando no te incumbe</t>
  </si>
  <si>
    <t xml:space="preserve">¿Callé? ¿Cuántas veces estuve a punto de intervenir?</t>
  </si>
  <si>
    <t xml:space="preserve">debe aprender a controlar su lengua</t>
  </si>
  <si>
    <t xml:space="preserve">dom-15</t>
  </si>
  <si>
    <t xml:space="preserve">Mantén hoy la paz en una situación que normalmente te pone a prueba, y hazlo sin fingir indiferencia.</t>
  </si>
  <si>
    <t xml:space="preserve">Paz en la prueba, sin fingir</t>
  </si>
  <si>
    <t xml:space="preserve">situación tensa habitual</t>
  </si>
  <si>
    <t xml:space="preserve">¿Mantuve la paz? ¿Fue paz real o frialdad?</t>
  </si>
  <si>
    <t xml:space="preserve">¿Mantengo la paz incluso en aquellas circunstancias que me ponen a prueba?</t>
  </si>
  <si>
    <t xml:space="preserve">jus-01</t>
  </si>
  <si>
    <t xml:space="preserve">Haz hoy tu trabajo ordinario con un nivel de cuidado superior al habitual en una tarea concreta, como un acto de servicio a quien la recibe.</t>
  </si>
  <si>
    <t xml:space="preserve">Trabaja hoy como servicio</t>
  </si>
  <si>
    <t xml:space="preserve">justicia</t>
  </si>
  <si>
    <t xml:space="preserve">¿Trabajé mejor hoy en esa tarea? ¿Pensé en quién la recibe?</t>
  </si>
  <si>
    <t xml:space="preserve">Pasos prácticos: Justicia</t>
  </si>
  <si>
    <t xml:space="preserve">¿Entiendo el trabajo como un acto de servicio a todos?</t>
  </si>
  <si>
    <t xml:space="preserve">jus-02</t>
  </si>
  <si>
    <t xml:space="preserve">Dedica hoy a tu familia un tiempo fijo y protegido, sin trabajo ni móvil, aunque haya tareas pendientes.</t>
  </si>
  <si>
    <t xml:space="preserve">Tiempo protegido para la familia</t>
  </si>
  <si>
    <t xml:space="preserve">tarde o noche</t>
  </si>
  <si>
    <t xml:space="preserve">¿Respeté el tiempo? ¿Cuántas veces pensé en el trabajo?</t>
  </si>
  <si>
    <t xml:space="preserve">¿Soy consciente de la diferencia entre el amor al trabajo y la adicción a éste?</t>
  </si>
  <si>
    <t xml:space="preserve">jus-03</t>
  </si>
  <si>
    <t xml:space="preserve">Identifica hoy una pequeña incoherencia entre lo que muestras y lo que eres, y corrígela en una conversación.</t>
  </si>
  <si>
    <t xml:space="preserve">Cierra una incoherencia</t>
  </si>
  <si>
    <t xml:space="preserve">¿Qué incoherencia corregí? ¿Cómo reaccionó la otra persona?</t>
  </si>
  <si>
    <t xml:space="preserve">¿Hay en mí algún tipo de dicotomía entre mi yo interior y el rostro que muestro?</t>
  </si>
  <si>
    <t xml:space="preserve">jus-04</t>
  </si>
  <si>
    <t xml:space="preserve">Di hoy una verdad moral que crees aunque sea impopular en tu entorno, con respeto y sin agresividad.</t>
  </si>
  <si>
    <t xml:space="preserve">Di la verdad impopular</t>
  </si>
  <si>
    <t xml:space="preserve">conversación sobre tema delicado</t>
  </si>
  <si>
    <t xml:space="preserve">¿La dije? ¿Con respeto? ¿Qué temía perder?</t>
  </si>
  <si>
    <t xml:space="preserve">¿Defiendo la verdad moral, incluso si ello implica contradecir lo políticamente correcto?</t>
  </si>
  <si>
    <t xml:space="preserve">jus-05</t>
  </si>
  <si>
    <t xml:space="preserve">Pregunta hoy a una persona a tu cargo cómo está, de verdad, y escucha cinco minutos sin hablar de trabajo.</t>
  </si>
  <si>
    <t xml:space="preserve">Pregunta cómo está, y escucha</t>
  </si>
  <si>
    <t xml:space="preserve">encuentro con colaborador</t>
  </si>
  <si>
    <t xml:space="preserve">¿Pregunté y escuché sin desviar al trabajo?</t>
  </si>
  <si>
    <t xml:space="preserve">Pasos prácticos: Humildad</t>
  </si>
  <si>
    <t xml:space="preserve">¿Me preocupo de que aquellos que trabajan para mí y conmigo sean felices?</t>
  </si>
  <si>
    <t xml:space="preserve">jus-06</t>
  </si>
  <si>
    <t xml:space="preserve">Trabaja hoy en equipo en algo que preferirías hacer a tu manera, y acepta la forma del grupo.</t>
  </si>
  <si>
    <t xml:space="preserve">Hazlo a la manera del equipo</t>
  </si>
  <si>
    <t xml:space="preserve">tarea compartida</t>
  </si>
  <si>
    <t xml:space="preserve">¿Acepté la forma del grupo o la saboteé en silencio?</t>
  </si>
  <si>
    <t xml:space="preserve">Debe aprender a trabajar en equipo (le encanta hacer las cosas a su manera)</t>
  </si>
  <si>
    <t xml:space="preserve">jus-07</t>
  </si>
  <si>
    <t xml:space="preserve">Si hoy el grupo decide algo contra tu opinión, súmate con entusiasmo a ejecutarlo y no digas «te lo dije» si falla.</t>
  </si>
  <si>
    <t xml:space="preserve">Súmate a la decisión del grupo</t>
  </si>
  <si>
    <t xml:space="preserve">decisión colectiva contraria</t>
  </si>
  <si>
    <t xml:space="preserve">¿Participé con entusiasmo? ¿Evité el 'te lo dije'?</t>
  </si>
  <si>
    <t xml:space="preserve">¿Participo con entusiasmo en la puesta en marcha de las decisiones a las que me opuse?</t>
  </si>
  <si>
    <t xml:space="preserve">jus-08</t>
  </si>
  <si>
    <t xml:space="preserve">Cultiva hoy una amistad, no una relación: llama a un amigo sin ningún motivo práctico.</t>
  </si>
  <si>
    <t xml:space="preserve">Llama a un amigo sin motivo</t>
  </si>
  <si>
    <t xml:space="preserve">¿Llamé? ¿Hablamos de algo que importaba?</t>
  </si>
  <si>
    <t xml:space="preserve">¿Cultivo la amistad o solo las relaciones?</t>
  </si>
  <si>
    <t xml:space="preserve">jus-09</t>
  </si>
  <si>
    <t xml:space="preserve">Hoy trata a cada persona con la que hables como persona y no como recurso: usa su nombre y mírala al hablar.</t>
  </si>
  <si>
    <t xml:space="preserve">Nombre y mirada a cada persona</t>
  </si>
  <si>
    <t xml:space="preserve">¿Hubo alguien a quien traté como un medio?</t>
  </si>
  <si>
    <t xml:space="preserve">¿Soy consciente de que la gente son personas y no factores de producción abstractos?</t>
  </si>
  <si>
    <t xml:space="preserve">jus-10</t>
  </si>
  <si>
    <t xml:space="preserve">Cumple hoy una obligación social o cívica que sueles posponer (una gestión, una respuesta debida, un compromiso con tu comunidad).</t>
  </si>
  <si>
    <t xml:space="preserve">Cumple la obligación pospuesta</t>
  </si>
  <si>
    <t xml:space="preserve">sociedad</t>
  </si>
  <si>
    <t xml:space="preserve">¿La cumplí hoy?</t>
  </si>
  <si>
    <t xml:space="preserve">Capítulo 4: Justicia y bien común</t>
  </si>
  <si>
    <t xml:space="preserve">mediante el cumplimiento fiel de sus responsabilidades profesionales, sociales, familiares y religiosas</t>
  </si>
  <si>
    <t xml:space="preserve">jus-11</t>
  </si>
  <si>
    <t xml:space="preserve">Contribuye hoy activamente a algo común que no te beneficia directamente (una tarea de equipo, un favor a un vecino, una iniciativa del barrio).</t>
  </si>
  <si>
    <t xml:space="preserve">Aporta al bien común sin beneficio</t>
  </si>
  <si>
    <t xml:space="preserve">¿Lo hice? ¿Esperé reconocimiento?</t>
  </si>
  <si>
    <t xml:space="preserve">para construir el bien común, debe aprender a vencer su apatía</t>
  </si>
  <si>
    <t xml:space="preserve">jus-12</t>
  </si>
  <si>
    <t xml:space="preserve">Repara hoy un pequeño daño que hayas causado (un retraso, una palabra de más, un olvido) pidiendo disculpas sin justificarte.</t>
  </si>
  <si>
    <t xml:space="preserve">Repara sin justificarte</t>
  </si>
  <si>
    <t xml:space="preserve">daño causado</t>
  </si>
  <si>
    <t xml:space="preserve">¿Pedí disculpas sin añadir un 'pero'?</t>
  </si>
  <si>
    <t xml:space="preserve">No reconoce fácilmente sus errores</t>
  </si>
  <si>
    <t xml:space="preserve">jus-13</t>
  </si>
  <si>
    <t xml:space="preserve">Ayuda hoy a alguien a darse cuenta de un defecto suyo, con afecto y pensando en su bien, no en tu comodidad.</t>
  </si>
  <si>
    <t xml:space="preserve">Ayúdale a ver su defecto</t>
  </si>
  <si>
    <t xml:space="preserve">persona cercana con un defecto visible</t>
  </si>
  <si>
    <t xml:space="preserve">¿Se lo dije con afecto? ¿Cómo lo recibió?</t>
  </si>
  <si>
    <t xml:space="preserve">practicar la justicia significará ayudarles a darse cuenta de sus defectos</t>
  </si>
  <si>
    <t xml:space="preserve">jus-14</t>
  </si>
  <si>
    <t xml:space="preserve">Da hoy a alguien el reconocimiento que le debes y que llevas tiempo sin expresar.</t>
  </si>
  <si>
    <t xml:space="preserve">Reconoce lo que debes</t>
  </si>
  <si>
    <t xml:space="preserve">¿A quién reconocí? ¿Fue específico?</t>
  </si>
  <si>
    <t xml:space="preserve">Capítulo 4: Justicia</t>
  </si>
  <si>
    <t xml:space="preserve">La justicia es el hábito de dar a cada uno lo suyo</t>
  </si>
  <si>
    <t xml:space="preserve">mag-01</t>
  </si>
  <si>
    <t xml:space="preserve">Escribe hoy tres cosas que se te dan especialmente bien y pregunta a un amigo si está de acuerdo.</t>
  </si>
  <si>
    <t xml:space="preserve">Nombra tu talento y contrástalo</t>
  </si>
  <si>
    <t xml:space="preserve">magnanimidad</t>
  </si>
  <si>
    <t xml:space="preserve">corazon</t>
  </si>
  <si>
    <t xml:space="preserve">¿Las escribí? ¿Qué dijo el amigo?</t>
  </si>
  <si>
    <t xml:space="preserve">Pasos prácticos: Magnanimidad</t>
  </si>
  <si>
    <t xml:space="preserve">¿He pedido alguna vez a mis amigos que me ayuden a descubrir en qué soy bueno?</t>
  </si>
  <si>
    <t xml:space="preserve">mag-02</t>
  </si>
  <si>
    <t xml:space="preserve">Dedica hoy 15 minutos a contemplar algo bello (música, un cuadro, un paisaje, un texto) sin hacer nada más.</t>
  </si>
  <si>
    <t xml:space="preserve">Quince minutos de belleza</t>
  </si>
  <si>
    <t xml:space="preserve">¿Lo hice sin interrupciones? ¿Qué provocó en mí?</t>
  </si>
  <si>
    <t xml:space="preserve">7. Desarrolla la magnanimidad</t>
  </si>
  <si>
    <t xml:space="preserve">Aprende a contemplar la belleza, a maravillarte</t>
  </si>
  <si>
    <t xml:space="preserve">mag-03</t>
  </si>
  <si>
    <t xml:space="preserve">Identifica hoy a una persona magnánima que admiras y escríbele o búscala para quedar.</t>
  </si>
  <si>
    <t xml:space="preserve">Busca la compañía de un magnánimo</t>
  </si>
  <si>
    <t xml:space="preserve">¿Di el paso de contactar?</t>
  </si>
  <si>
    <t xml:space="preserve">Identifica a qué personas magnánimas te gustaría ver este año y busca su compañía</t>
  </si>
  <si>
    <t xml:space="preserve">mag-04</t>
  </si>
  <si>
    <t xml:space="preserve">Revisa hoy tu «ambiente»: elimina una lectura, serie o cuenta que te empequeñece y sustitúyela por algo noble.</t>
  </si>
  <si>
    <t xml:space="preserve">Limpia tu ambiente</t>
  </si>
  <si>
    <t xml:space="preserve">¿Qué quité y qué puse en su lugar?</t>
  </si>
  <si>
    <t xml:space="preserve">Crea en torno tuyo un «ambiente magnánimo»</t>
  </si>
  <si>
    <t xml:space="preserve">mag-05</t>
  </si>
  <si>
    <t xml:space="preserve">Fija hoy un objetivo más alto de lo habitual para una tarea concreta y díselo a alguien.</t>
  </si>
  <si>
    <t xml:space="preserve">Sube el listón y dilo</t>
  </si>
  <si>
    <t xml:space="preserve">planificación del día</t>
  </si>
  <si>
    <t xml:space="preserve">¿Fijé un objetivo alto? ¿Lo comuniqué?</t>
  </si>
  <si>
    <t xml:space="preserve">¿Establezco metas altas para mí y para los demás?</t>
  </si>
  <si>
    <t xml:space="preserve">mag-06</t>
  </si>
  <si>
    <t xml:space="preserve">Dedica hoy 20 minutos a imaginar sin límites cómo sería tu vida o tu trabajo dentro de diez años si cumplieras tu misión. Escríbelo.</t>
  </si>
  <si>
    <t xml:space="preserve">Imagina a diez años</t>
  </si>
  <si>
    <t xml:space="preserve">¿Lo escribí? ¿Me atreví a imaginar en grande?</t>
  </si>
  <si>
    <t xml:space="preserve">Dedica tiempo a tu imaginación. Trabájala, enriquécela, llévala hasta el límite</t>
  </si>
  <si>
    <t xml:space="preserve">mag-07</t>
  </si>
  <si>
    <t xml:space="preserve">Hoy no te compares con nadie. Cada vez que lo hagas, sustituye la comparación por una pregunta: «¿qué puedo hacer yo con mi talento?».</t>
  </si>
  <si>
    <t xml:space="preserve">Cero comparaciones hoy</t>
  </si>
  <si>
    <t xml:space="preserve">¿Cuántas veces me comparé? ¿Logré sustituirlo?</t>
  </si>
  <si>
    <t xml:space="preserve">No te compares con nadie</t>
  </si>
  <si>
    <t xml:space="preserve">mag-08</t>
  </si>
  <si>
    <t xml:space="preserve">No dejes pasar hoy una ocasión de hacer un bien concreto por miedo o pereza, por pequeño que sea.</t>
  </si>
  <si>
    <t xml:space="preserve">No dejes pasar la ocasión</t>
  </si>
  <si>
    <t xml:space="preserve">ocasión de ayudar</t>
  </si>
  <si>
    <t xml:space="preserve">¿Hubo una ocasión que dejé pasar? ¿Por miedo o por pereza?</t>
  </si>
  <si>
    <t xml:space="preserve">No dejes pasar la ocasión de actuar</t>
  </si>
  <si>
    <t xml:space="preserve">mag-09</t>
  </si>
  <si>
    <t xml:space="preserve">Busca hoy la grandeza en una tarea ordinaria (una comida, un informe, una clase) y hazla como si fuera lo más importante del día.</t>
  </si>
  <si>
    <t xml:space="preserve">Grandeza en lo ordinario</t>
  </si>
  <si>
    <t xml:space="preserve">¿En qué tarea busqué la grandeza? ¿Se notó?</t>
  </si>
  <si>
    <t xml:space="preserve">Busca la grandeza en la realidad inmediata y tangible</t>
  </si>
  <si>
    <t xml:space="preserve">mag-10</t>
  </si>
  <si>
    <t xml:space="preserve">Pregúntate hoy: «¿en qué medida, cumpliendo la misión de mi organización, cumplo la mía?». Escribe la respuesta honesta.</t>
  </si>
  <si>
    <t xml:space="preserve">Tu misión y la de tu empresa</t>
  </si>
  <si>
    <t xml:space="preserve">¿Pude responder? ¿Qué me dice la respuesta?</t>
  </si>
  <si>
    <t xml:space="preserve">¿En qué medida, cumpliendo la misión de mi empresa, estoy cumpliendo la mía propia?</t>
  </si>
  <si>
    <t xml:space="preserve">mag-11</t>
  </si>
  <si>
    <t xml:space="preserve">Dedica hoy más energía a desarrollar un punto fuerte tuyo que a corregir un defecto: practica ese talento 30 minutos.</t>
  </si>
  <si>
    <t xml:space="preserve">Entrena tu punto fuerte</t>
  </si>
  <si>
    <t xml:space="preserve">¿Practiqué mi punto fuerte? ¿Cuál?</t>
  </si>
  <si>
    <t xml:space="preserve">debería estar más preocupado en desarrollar y aumentar mis puntos fuertes</t>
  </si>
  <si>
    <t xml:space="preserve">mag-12</t>
  </si>
  <si>
    <t xml:space="preserve">Inspira hoy a un colega o amigo un sentido de misión: pregúntale para qué hace lo que hace y escucha.</t>
  </si>
  <si>
    <t xml:space="preserve">Pregunta a otro por su misión</t>
  </si>
  <si>
    <t xml:space="preserve">¿Tuvimos la conversación? ¿Qué descubrió?</t>
  </si>
  <si>
    <t xml:space="preserve">¿Trato de inspirar en mis amigos y colegas un sentido de misión?</t>
  </si>
  <si>
    <t xml:space="preserve">mag-13</t>
  </si>
  <si>
    <t xml:space="preserve">Mira hoy un problema de tu entorno (trabajo, barrio, familia) como una cima a conquistar y no como una carga. Escribe el primer paso.</t>
  </si>
  <si>
    <t xml:space="preserve">El problema como cima</t>
  </si>
  <si>
    <t xml:space="preserve">problema que te desanima</t>
  </si>
  <si>
    <t xml:space="preserve">¿Cambié la mirada? ¿Escribí el primer paso?</t>
  </si>
  <si>
    <t xml:space="preserve">¿Veo los obstáculos como cimas que conquistar o me rindo al pesimismo?</t>
  </si>
  <si>
    <t xml:space="preserve">mag-14</t>
  </si>
  <si>
    <t xml:space="preserve">Escribe hoy tu historia personal en cinco líneas: las personas, los libros y los hechos que te han hecho quien eres.</t>
  </si>
  <si>
    <t xml:space="preserve">Tu historia en cinco líneas</t>
  </si>
  <si>
    <t xml:space="preserve">¿La escribí? ¿Qué tema principal apareció?</t>
  </si>
  <si>
    <t xml:space="preserve">8. Descubre tu misión</t>
  </si>
  <si>
    <t xml:space="preserve">Tu historia debe ser dramática, poética, simbólica y corta</t>
  </si>
  <si>
    <t xml:space="preserve">mag-15</t>
  </si>
  <si>
    <t xml:space="preserve">Lee hoy 20 minutos la biografía de una persona noble de la historia, en lugar de noticias o redes.</t>
  </si>
  <si>
    <t xml:space="preserve">Veinte minutos con un grande</t>
  </si>
  <si>
    <t xml:space="preserve">¿Leí? ¿Qué me quedo de esa persona?</t>
  </si>
  <si>
    <t xml:space="preserve">Estudia las biografías de las personalidades nobles de la historia</t>
  </si>
  <si>
    <t xml:space="preserve">mag-16</t>
  </si>
  <si>
    <t xml:space="preserve">Rechaza hoy la autosatisfacción: en algo que crees hacer «bastante bien», da un paso más.</t>
  </si>
  <si>
    <t xml:space="preserve">Un paso más donde ya haces 'bastante'</t>
  </si>
  <si>
    <t xml:space="preserve">¿Dónde di el paso extra?</t>
  </si>
  <si>
    <t xml:space="preserve">Esta indulgencia con nosotros mismos es incompatible con la magnanimidad</t>
  </si>
  <si>
    <t xml:space="preserve">mag-17</t>
  </si>
  <si>
    <t xml:space="preserve">Hoy haz algo que verdaderamente deseas en el fondo y que vienes negándote «por deber»: identifícalo y dale un primer espacio.</t>
  </si>
  <si>
    <t xml:space="preserve">Haz lo que de verdad deseas</t>
  </si>
  <si>
    <t xml:space="preserve">voluntarismo</t>
  </si>
  <si>
    <t xml:space="preserve">¿Lo identifiqué? ¿Le di espacio sin culpa?</t>
  </si>
  <si>
    <t xml:space="preserve">Corazón libre</t>
  </si>
  <si>
    <t xml:space="preserve">4. El voluntarista espiritualista</t>
  </si>
  <si>
    <t xml:space="preserve">Aprende a hacer lo que verdaderamente deseas hacer. Aprende a ser feliz</t>
  </si>
  <si>
    <t xml:space="preserve">hum-01</t>
  </si>
  <si>
    <t xml:space="preserve">Haz hoy tu examen de conciencia de tres minutos antes de dormir: qué hice bien, qué mal, y un propósito concreto para mañana.</t>
  </si>
  <si>
    <t xml:space="preserve">Examen de tres minutos</t>
  </si>
  <si>
    <t xml:space="preserve">humildad</t>
  </si>
  <si>
    <t xml:space="preserve">fundamental</t>
  </si>
  <si>
    <t xml:space="preserve">antes de dormir</t>
  </si>
  <si>
    <t xml:space="preserve">¿Lo hice? ¿Salió un propósito concreto?</t>
  </si>
  <si>
    <t xml:space="preserve">Capítulo 2: Examen de conciencia</t>
  </si>
  <si>
    <t xml:space="preserve">dedicar no más de tres minutos antes de acostarse a examinar nuestro comportamiento</t>
  </si>
  <si>
    <t xml:space="preserve">hum-02</t>
  </si>
  <si>
    <t xml:space="preserve">Pide hoy a alguien de confianza que te diga un defecto tuyo que ve, y escúchalo sin defenderte ni explicarte.</t>
  </si>
  <si>
    <t xml:space="preserve">Pide un defecto y no te defiendas</t>
  </si>
  <si>
    <t xml:space="preserve">¿Pregunté? ¿Me defendí?</t>
  </si>
  <si>
    <t xml:space="preserve">Conoce a los demás mejor de lo que se conoce a sí mismo</t>
  </si>
  <si>
    <t xml:space="preserve">hum-03</t>
  </si>
  <si>
    <t xml:space="preserve">Reconoce hoy un error tuyo en voz alta delante de quienes lo vieron, sin minimizarlo.</t>
  </si>
  <si>
    <t xml:space="preserve">Reconoce el error en público</t>
  </si>
  <si>
    <t xml:space="preserve">error visible</t>
  </si>
  <si>
    <t xml:space="preserve">¿Lo reconocí? ¿Lo minimicé con un 'pero'?</t>
  </si>
  <si>
    <t xml:space="preserve">hum-04</t>
  </si>
  <si>
    <t xml:space="preserve">Hoy, en una tarea de alguien a tu cargo, no intervengas ni la hagas por él aunque veas que podrías hacerla mejor.</t>
  </si>
  <si>
    <t xml:space="preserve">No hagas su trabajo</t>
  </si>
  <si>
    <t xml:space="preserve">fraternal</t>
  </si>
  <si>
    <t xml:space="preserve">colaborador en una tarea</t>
  </si>
  <si>
    <t xml:space="preserve">¿Me contuve? ¿Qué me costó más?</t>
  </si>
  <si>
    <t xml:space="preserve">¿Evito la tentación de hacer el trabajo de mis subordinados en su lugar?</t>
  </si>
  <si>
    <t xml:space="preserve">hum-05</t>
  </si>
  <si>
    <t xml:space="preserve">Delega hoy una decisión real (no solo una tarea) a alguien de tu equipo o de tu familia, y respeta lo que decida.</t>
  </si>
  <si>
    <t xml:space="preserve">Delega una decisión, no una tarea</t>
  </si>
  <si>
    <t xml:space="preserve">¿Delegué la decisión? ¿La respeté aunque no fuera la mía?</t>
  </si>
  <si>
    <t xml:space="preserve">¿Sé delegar de buena gana el poder?</t>
  </si>
  <si>
    <t xml:space="preserve">hum-06</t>
  </si>
  <si>
    <t xml:space="preserve">Enseña hoy en lugar de ordenar: cuando pidas algo, explica el porqué y pregunta si tiene sentido para la otra persona.</t>
  </si>
  <si>
    <t xml:space="preserve">Enseña, no ordenes</t>
  </si>
  <si>
    <t xml:space="preserve">instrucción a alguien</t>
  </si>
  <si>
    <t xml:space="preserve">¿Expliqué el porqué? ¿Pregunté?</t>
  </si>
  <si>
    <t xml:space="preserve">7. Desarrolla la humildad</t>
  </si>
  <si>
    <t xml:space="preserve">enseña en lugar de ordenar, inspira en lugar de echar reprimendas</t>
  </si>
  <si>
    <t xml:space="preserve">hum-07</t>
  </si>
  <si>
    <t xml:space="preserve">Haz hablar hoy en una reunión a la persona más callada, y pide al que más habla (quizá tú) que ceda.</t>
  </si>
  <si>
    <t xml:space="preserve">Da voz al callado</t>
  </si>
  <si>
    <t xml:space="preserve">reunión de grupo</t>
  </si>
  <si>
    <t xml:space="preserve">¿Lo hice? ¿Qué aportó el callado?</t>
  </si>
  <si>
    <t xml:space="preserve">¿Hago hablar al reticente, animo al dominante a ceder?</t>
  </si>
  <si>
    <t xml:space="preserve">hum-08</t>
  </si>
  <si>
    <t xml:space="preserve">Comparte hoy una información útil que estabas guardando para ti, con quien la necesita.</t>
  </si>
  <si>
    <t xml:space="preserve">Comparte lo que guardabas</t>
  </si>
  <si>
    <t xml:space="preserve">¿Qué compartí? ¿Por qué lo guardaba?</t>
  </si>
  <si>
    <t xml:space="preserve">¿Comparto la información? ¿Evito hacerme a mí mismo indispensable?</t>
  </si>
  <si>
    <t xml:space="preserve">hum-09</t>
  </si>
  <si>
    <t xml:space="preserve">Ayuda hoy a una persona a descubrir un talento suyo: díselo con un ejemplo concreto de cuándo lo viste.</t>
  </si>
  <si>
    <t xml:space="preserve">Señala el talento de otro</t>
  </si>
  <si>
    <t xml:space="preserve">¿A quién? ¿Qué talento? ¿Cómo reaccionó?</t>
  </si>
  <si>
    <t xml:space="preserve">Ayúdales a descubrir sus talentos, a hacerlos rendir</t>
  </si>
  <si>
    <t xml:space="preserve">hum-10</t>
  </si>
  <si>
    <t xml:space="preserve">Hoy sirve en algo pequeño y poco visible en casa o en el trabajo, sin que nadie lo sepa.</t>
  </si>
  <si>
    <t xml:space="preserve">Sirve en lo invisible</t>
  </si>
  <si>
    <t xml:space="preserve">¿Qué hice? ¿Alguien lo supo?</t>
  </si>
  <si>
    <t xml:space="preserve">Capítulo 1: Magnanimidad y humildad</t>
  </si>
  <si>
    <t xml:space="preserve">Un líder es siempre un servidor</t>
  </si>
  <si>
    <t xml:space="preserve">hum-11</t>
  </si>
  <si>
    <t xml:space="preserve">Recuerda hoy, al empezar, que tu energía y tus talentos no son mérito tuyo sino un don. Dilo en una frase de agradecimiento.</t>
  </si>
  <si>
    <t xml:space="preserve">Tu fuerza es un don</t>
  </si>
  <si>
    <t xml:space="preserve">¿Lo hice? ¿Cambió algo en cómo traté a los demás?</t>
  </si>
  <si>
    <t xml:space="preserve">debe comprender que su fuerza fisiológica no es resultado de un esfuerzo personal, sino un don</t>
  </si>
  <si>
    <t xml:space="preserve">hum-12</t>
  </si>
  <si>
    <t xml:space="preserve">Hoy no humilles a nadie «por la causa»: si tienes que exigir, hazlo respetando los sentimientos y la libertad del otro.</t>
  </si>
  <si>
    <t xml:space="preserve">Exige sin humillar</t>
  </si>
  <si>
    <t xml:space="preserve">presión por resultados</t>
  </si>
  <si>
    <t xml:space="preserve">¿Herí a alguien en nombre del objetivo?</t>
  </si>
  <si>
    <t xml:space="preserve">no herir sus sentimientos, no violar su dignidad en nombre de una «causa sagrada»</t>
  </si>
  <si>
    <t xml:space="preserve">hum-13</t>
  </si>
  <si>
    <t xml:space="preserve">Sal hoy de ti mismo: dedica 15 minutos a alguien que lo necesite, sin pensar en tus propios problemas mientras tanto.</t>
  </si>
  <si>
    <t xml:space="preserve">Quince minutos fuera de ti</t>
  </si>
  <si>
    <t xml:space="preserve">¿Estuve presente de verdad o seguí dentro de mi cabeza?</t>
  </si>
  <si>
    <t xml:space="preserve">le resulta difícil servir: está absorto en sí mismo</t>
  </si>
  <si>
    <t xml:space="preserve">hum-14</t>
  </si>
  <si>
    <t xml:space="preserve">Distingue hoy en tu examen nocturno un fallo de temperamento (primera reacción) de un fallo de carácter (decisión). Anota uno de cada.</t>
  </si>
  <si>
    <t xml:space="preserve">Temperamento o carácter</t>
  </si>
  <si>
    <t xml:space="preserve">determinismo</t>
  </si>
  <si>
    <t xml:space="preserve">¿Supe distinguirlos? ¿Me excusé con el temperamento?</t>
  </si>
  <si>
    <t xml:space="preserve">Distinga entre sus defectos de carácter y sus defectos de temperamento</t>
  </si>
  <si>
    <t xml:space="preserve">hum-15</t>
  </si>
  <si>
    <t xml:space="preserve">Pide hoy ayuda para algo que podrías hacer solo.</t>
  </si>
  <si>
    <t xml:space="preserve">Pide ayuda aunque puedas solo</t>
  </si>
  <si>
    <t xml:space="preserve">¿Pedí ayuda? ¿Qué sentí al hacerlo?</t>
  </si>
  <si>
    <t xml:space="preserve">¿Requiero las aportaciones de los demás a la hora de solucionar mis problemas?</t>
  </si>
  <si>
    <t xml:space="preserve">hum-16</t>
  </si>
  <si>
    <t xml:space="preserve">Aprende hoy algo de una persona a la que diriges o que tiene menos experiencia que tú, y díselo.</t>
  </si>
  <si>
    <t xml:space="preserve">Aprende de quien diriges</t>
  </si>
  <si>
    <t xml:space="preserve">¿Qué aprendí y de quién? ¿Se lo dije?</t>
  </si>
  <si>
    <t xml:space="preserve">¿Aprendo de aquellos a quienes dirijo?</t>
  </si>
  <si>
    <t xml:space="preserve">hum-17</t>
  </si>
  <si>
    <t xml:space="preserve">Promueve hoy a tu equipo o a tu organización antes que a ti mismo en una conversación con alguien externo.</t>
  </si>
  <si>
    <t xml:space="preserve">Promueve a otros, no a ti</t>
  </si>
  <si>
    <t xml:space="preserve">conversación con externo</t>
  </si>
  <si>
    <t xml:space="preserve">¿Hablé de 'nosotros' o de 'yo'?</t>
  </si>
  <si>
    <t xml:space="preserve">¿Promuevo a mi organización antes que a mí mismo?</t>
  </si>
  <si>
    <t xml:space="preserve">hum-18</t>
  </si>
  <si>
    <t xml:space="preserve">Hoy ama antes de juzgar: antes de evaluar a alguien, piensa en qué le hace grande y empieza por ahí.</t>
  </si>
  <si>
    <t xml:space="preserve">Primero lo grande del otro</t>
  </si>
  <si>
    <t xml:space="preserve">evaluación o feedback</t>
  </si>
  <si>
    <t xml:space="preserve">¿Empecé por lo bueno de verdad o fue un trámite?</t>
  </si>
  <si>
    <t xml:space="preserve">para hacer grandes a las personas, lo principal es que las quieras</t>
  </si>
  <si>
    <t xml:space="preserve">esp-01</t>
  </si>
  <si>
    <t xml:space="preserve">Planifica hoy tu día con un tiempo fijo para meditar o leer, otro para deporte y otro para la gente que quieres. Cúmplelos.</t>
  </si>
  <si>
    <t xml:space="preserve">Plan del día con tres tiempos</t>
  </si>
  <si>
    <t xml:space="preserve">¿Cumplí los tres tiempos?</t>
  </si>
  <si>
    <t xml:space="preserve">Elabora un plan cotidiano de crecimiento espiritual y cultural</t>
  </si>
  <si>
    <t xml:space="preserve">esp-02</t>
  </si>
  <si>
    <t xml:space="preserve">Hoy haz lo contrario de lo que te pide tu inclinación natural en una situación concreta y observa qué pasa.</t>
  </si>
  <si>
    <t xml:space="preserve">Lo contrario de tu inclinación</t>
  </si>
  <si>
    <t xml:space="preserve">¿Qué hice en contra de mi inclinación? ¿Qué pasó?</t>
  </si>
  <si>
    <t xml:space="preserve">1. Temperamento y carácter</t>
  </si>
  <si>
    <t xml:space="preserve">Aprendemos a hacer, cuando es necesario, lo contrario de lo que me pide la inclinación natural</t>
  </si>
  <si>
    <t xml:space="preserve">esp-03</t>
  </si>
  <si>
    <t xml:space="preserve">Hoy, ante una persona con la que no te entiendes, trátala como un regalo: identifica qué virtud te está ayudando a practicar.</t>
  </si>
  <si>
    <t xml:space="preserve">El difícil como regalo</t>
  </si>
  <si>
    <t xml:space="preserve">persona difícil</t>
  </si>
  <si>
    <t xml:space="preserve">¿Identifiqué la virtud? ¿Cambió mi trato?</t>
  </si>
  <si>
    <t xml:space="preserve">Debemos considerar como regalos, y no como fardos, a las personas con las que no nos entendemos</t>
  </si>
  <si>
    <t xml:space="preserve">esp-04</t>
  </si>
  <si>
    <t xml:space="preserve">No seas insensible al qué dirán hoy: haz lo correcto en una situación social aunque desentone.</t>
  </si>
  <si>
    <t xml:space="preserve">Haz lo correcto aunque desentone</t>
  </si>
  <si>
    <t xml:space="preserve">presión social</t>
  </si>
  <si>
    <t xml:space="preserve">¿Hice lo correcto o me adapté al ambiente?</t>
  </si>
  <si>
    <t xml:space="preserve">Sed insensibles al qué dirán</t>
  </si>
  <si>
    <t xml:space="preserve">esp-05</t>
  </si>
  <si>
    <t xml:space="preserve">Hoy fija una meta sencilla y a corto plazo con alguien que te aconseja (mentor, amigo, director) y pídele que te la recuerde.</t>
  </si>
  <si>
    <t xml:space="preserve">Meta corta con tu mentor</t>
  </si>
  <si>
    <t xml:space="preserve">¿Fijé la meta con alguien?</t>
  </si>
  <si>
    <t xml:space="preserve">Pasos prácticos: Dirección espiritual</t>
  </si>
  <si>
    <t xml:space="preserve">ayudarnos a ponernos metas sencillas y a corto plazo</t>
  </si>
  <si>
    <t xml:space="preserve">esp-06</t>
  </si>
  <si>
    <t xml:space="preserve">Usa hoy tu temperamento como talento: si eres melancólico propón una idea nueva, colérico lanza un proyecto, sanguíneo reúne gente, flemático haz viable un plan.</t>
  </si>
  <si>
    <t xml:space="preserve">Tu temperamento como talento</t>
  </si>
  <si>
    <t xml:space="preserve">¿Usé hoy mi temperamento a favor de algo bueno?</t>
  </si>
  <si>
    <t xml:space="preserve">Sin olvidar que tu temperamento también es un talento</t>
  </si>
  <si>
    <t xml:space="preserve">gt-01</t>
  </si>
  <si>
    <t xml:space="preserve">Si eres melancólico-colérico: hoy, en un proyecto tuyo, pregunta a dos personas qué necesitan ellas, antes de pedirles nada.</t>
  </si>
  <si>
    <t xml:space="preserve">Pregunta qué necesitan ellos</t>
  </si>
  <si>
    <t xml:space="preserve">proyecto propio</t>
  </si>
  <si>
    <t xml:space="preserve">¿Pregunté antes de pedir? ¿Usé o serví?</t>
  </si>
  <si>
    <t xml:space="preserve">Grandir avec son tempérament</t>
  </si>
  <si>
    <t xml:space="preserve">Le contemplatif actif (mélancolique-colérique)</t>
  </si>
  <si>
    <t xml:space="preserve">vous avez tendance à utiliser les autres au lieu de les servir</t>
  </si>
  <si>
    <t xml:space="preserve">gt-02</t>
  </si>
  <si>
    <t xml:space="preserve">Si eres sanguíneo-colérico: dedica hoy 10 minutos a examinarte a ti mismo con la misma atención que pones en los demás.</t>
  </si>
  <si>
    <t xml:space="preserve">Mírate como miras a otros</t>
  </si>
  <si>
    <t xml:space="preserve">¿Me examiné 10 minutos? ¿Qué descubrí?</t>
  </si>
  <si>
    <t xml:space="preserve">Le communicateur focalisé (sanguin-colérique)</t>
  </si>
  <si>
    <t xml:space="preserve">Vous devez consacrer du temps à l’examen de conscience</t>
  </si>
  <si>
    <t xml:space="preserve">gt-03</t>
  </si>
  <si>
    <t xml:space="preserve">Si eres sanguíneo-flemático: escribe hoy un sueño grande para tu vida, sin filtrarlo por lo realista.</t>
  </si>
  <si>
    <t xml:space="preserve">Escribe un sueño grande</t>
  </si>
  <si>
    <t xml:space="preserve">¿Lo escribí sin recortarlo?</t>
  </si>
  <si>
    <t xml:space="preserve">Le communicateur discret (sanguin-flegmatique)</t>
  </si>
  <si>
    <t xml:space="preserve">vous avez du mal à rêver de grandes choses</t>
  </si>
  <si>
    <t xml:space="preserve">gt-04</t>
  </si>
  <si>
    <t xml:space="preserve">Si eres flemático-melancólico: hoy actúa sobre una idea tuya antes de que esté perfecta: da el primer paso visible.</t>
  </si>
  <si>
    <t xml:space="preserve">Actúa antes de la perfección</t>
  </si>
  <si>
    <t xml:space="preserve">¿Actué? ¿Qué imperfección tuve que tolerar?</t>
  </si>
  <si>
    <t xml:space="preserve">Le médiateur contemplatif (flegmatique-mélancolique)</t>
  </si>
  <si>
    <t xml:space="preserve">Votre défi est l’audace</t>
  </si>
  <si>
    <t xml:space="preserve">gt-05</t>
  </si>
  <si>
    <t xml:space="preserve">Si eres melancólico-flemático: comunica hoy una decisión que ya has tomado interiormente pero no has dicho.</t>
  </si>
  <si>
    <t xml:space="preserve">Di la decisión que ya tomaste</t>
  </si>
  <si>
    <t xml:space="preserve">¿La comuniqué hoy?</t>
  </si>
  <si>
    <t xml:space="preserve">Le contemplatif pragmatique (mélancolique-flegmatique)</t>
  </si>
  <si>
    <t xml:space="preserve">vous êtes lent à agir. Votre défi est l’audace</t>
  </si>
  <si>
    <t xml:space="preserve">Virtudes</t>
  </si>
  <si>
    <t xml:space="preserve">subcomponentes</t>
  </si>
  <si>
    <t xml:space="preserve">qué permite (Liderazgo virtuoso)</t>
  </si>
  <si>
    <t xml:space="preserve">fuente</t>
  </si>
  <si>
    <t xml:space="preserve">deliberacion / decision</t>
  </si>
  <si>
    <t xml:space="preserve">Tomar buenas decisiones</t>
  </si>
  <si>
    <t xml:space="preserve">audacia / resistencia</t>
  </si>
  <si>
    <t xml:space="preserve">Mantener el rumbo y resistir presiones</t>
  </si>
  <si>
    <t xml:space="preserve">—</t>
  </si>
  <si>
    <t xml:space="preserve">Sujetar las pasiones al espíritu y dirigirlas a la misión</t>
  </si>
  <si>
    <t xml:space="preserve">comunión / bien común</t>
  </si>
  <si>
    <t xml:space="preserve">Dar a cada uno lo suyo y entrar en el corazón de los demás</t>
  </si>
  <si>
    <t xml:space="preserve">contemplación / acción</t>
  </si>
  <si>
    <t xml:space="preserve">Responder a la vocación, realizar la misión, fijar metas altas</t>
  </si>
  <si>
    <t xml:space="preserve">fundamental (conocimiento de sí) / fraternal (servicio)</t>
  </si>
  <si>
    <t xml:space="preserve">Superar el ego y servir a los demás de manera habitual</t>
  </si>
  <si>
    <t xml:space="preserve">Temperamentos</t>
  </si>
  <si>
    <t xml:space="preserve">temperamento</t>
  </si>
  <si>
    <t xml:space="preserve">orientación</t>
  </si>
  <si>
    <t xml:space="preserve">virtud-reto</t>
  </si>
  <si>
    <t xml:space="preserve">puntos débiles clave</t>
  </si>
  <si>
    <t xml:space="preserve">colérico</t>
  </si>
  <si>
    <t xml:space="preserve">Acción</t>
  </si>
  <si>
    <t xml:space="preserve">Orgullo e ira; decide sin deliberar; activismo ciego; no reconoce errores; le cuesta servir</t>
  </si>
  <si>
    <t xml:space="preserve">melancólico</t>
  </si>
  <si>
    <t xml:space="preserve">Idea</t>
  </si>
  <si>
    <t xml:space="preserve">Teme la acción y el riesgo; pesimismo; se inquieta por nimiedades; crítica y susceptibilidad; mal en equipo</t>
  </si>
  <si>
    <t xml:space="preserve">sanguíneo</t>
  </si>
  <si>
    <t xml:space="preserve">Personas</t>
  </si>
  <si>
    <t xml:space="preserve">Inconstancia; empieza y no termina; superficialidad; controla mal los sentidos externos; quiere agradar</t>
  </si>
  <si>
    <t xml:space="preserve">flemático</t>
  </si>
  <si>
    <t xml:space="preserve">Paz</t>
  </si>
  <si>
    <t xml:space="preserve">Statu quo; evita conflictos; miedo a equivocarse; apatía; no sabe soñar</t>
  </si>
  <si>
    <t xml:space="preserve">Perfiles combinados (dominante-secundario)</t>
  </si>
  <si>
    <t xml:space="preserve">perfil</t>
  </si>
  <si>
    <t xml:space="preserve">temperamentos</t>
  </si>
  <si>
    <t xml:space="preserve">Contemplativo</t>
  </si>
  <si>
    <t xml:space="preserve">Contemplativo activo</t>
  </si>
  <si>
    <t xml:space="preserve">melancólico-colérico</t>
  </si>
  <si>
    <t xml:space="preserve">humildad fraternal</t>
  </si>
  <si>
    <t xml:space="preserve">Contemplativo pragmático</t>
  </si>
  <si>
    <t xml:space="preserve">melancólico-flemático</t>
  </si>
  <si>
    <t xml:space="preserve">Comunicador</t>
  </si>
  <si>
    <t xml:space="preserve">Comunicador focalizado</t>
  </si>
  <si>
    <t xml:space="preserve">sanguíneo-colérico</t>
  </si>
  <si>
    <t xml:space="preserve">humildad fundamental</t>
  </si>
  <si>
    <t xml:space="preserve">Comunicador discreto</t>
  </si>
  <si>
    <t xml:space="preserve">sanguíneo-flemático</t>
  </si>
  <si>
    <t xml:space="preserve">Mediador</t>
  </si>
  <si>
    <t xml:space="preserve">Mediador contemplativo</t>
  </si>
  <si>
    <t xml:space="preserve">flemático-melancólico</t>
  </si>
  <si>
    <t xml:space="preserve">Ámbitos</t>
  </si>
  <si>
    <t xml:space="preserve">ámbito</t>
  </si>
  <si>
    <t xml:space="preserve">descripción</t>
  </si>
  <si>
    <t xml:space="preserve">Vida profesional, equipo, colaboradores, decisiones</t>
  </si>
  <si>
    <t xml:space="preserve">Pareja, hijos, hogar</t>
  </si>
  <si>
    <t xml:space="preserve">Amigos, relaciones personales</t>
  </si>
  <si>
    <t xml:space="preserve">Conocimiento propio, misión, examen, oración o meditación</t>
  </si>
  <si>
    <t xml:space="preserve">Lecturas, música, pantallas, belleza, ambiente</t>
  </si>
  <si>
    <t xml:space="preserve">Comida, descanso, sentidos, comodidades</t>
  </si>
  <si>
    <t xml:space="preserve">Comunidad, bien común, obligaciones cívicas</t>
  </si>
  <si>
    <t xml:space="preserve">Obstáculos (Liderazgo virtuoso, cap. 'Un programa para ganar' + 'Del temperamento al carácter')</t>
  </si>
  <si>
    <t xml:space="preserve">obstáculo</t>
  </si>
  <si>
    <t xml:space="preserve">Nadar con la corriente; miedo al qué dirán</t>
  </si>
  <si>
    <t xml:space="preserve">No aceptar el fallo; abandonar tras el error; fruto del orgullo</t>
  </si>
  <si>
    <t xml:space="preserve">Querer que la virtud madure deprisa</t>
  </si>
  <si>
    <t xml:space="preserve">Olvidar que las personas difíciles son colaboradores en nuestro crecimiento</t>
  </si>
  <si>
    <t xml:space="preserve">Creer que ya se hace bastante</t>
  </si>
  <si>
    <t xml:space="preserve">Excusar los fallos por el temperamento; negar la libertad</t>
  </si>
  <si>
    <t xml:space="preserve">Negar el temperamento; 'el deber por el deber' contra el corazón</t>
  </si>
  <si>
    <t xml:space="preserve">Tipos de reto</t>
  </si>
  <si>
    <t xml:space="preserve">Hacer algo concreto</t>
  </si>
  <si>
    <t xml:space="preserve">No hacer algo: callar, esperar, renunciar</t>
  </si>
  <si>
    <t xml:space="preserve">Leer, mirar, escribir, recordar, examinarse</t>
  </si>
  <si>
    <t xml:space="preserve">Resumen de la biblioteca</t>
  </si>
  <si>
    <t xml:space="preserve">Total de retos</t>
  </si>
  <si>
    <t xml:space="preserve">nº retos</t>
  </si>
  <si>
    <t xml:space="preserve">intensidad media</t>
  </si>
  <si>
    <t xml:space="preserve">% del total</t>
  </si>
  <si>
    <t xml:space="preserve">Total</t>
  </si>
  <si>
    <t xml:space="preserve">retos con dificultad ≥4 (los que más le cuestan)</t>
  </si>
  <si>
    <t xml:space="preserve">dificultad media</t>
  </si>
  <si>
    <t xml:space="preserve">Objeto</t>
  </si>
  <si>
    <t xml:space="preserve">Biblioteca de retos diarios derivada de los libros de Alexandre Dianine-Havard (Liderazgo virtuoso, Creado para la grandeza, Del temperamento al carácter, Coaching con Juana de Arco, Corazón libre, Grandir avec son tempérament).</t>
  </si>
  <si>
    <t xml:space="preserve">Identificador único. Prefijo = virtud o bloque (pru, aud, res, dom, jus, mag, hum, esp = transversal, gt = perfiles combinados).</t>
  </si>
  <si>
    <t xml:space="preserve">texto / variante_corta</t>
  </si>
  <si>
    <t xml:space="preserve">Reto formulado para hoy, en segunda persona. La variante corta sirve para notificación.</t>
  </si>
  <si>
    <t xml:space="preserve">virtud / subcomponente / facultad</t>
  </si>
  <si>
    <t xml:space="preserve">Según el marco del método. Facultad: corazón (humildad, magnanimidad), razón (prudencia), voluntad (fortaleza, dominio de sí, justicia).</t>
  </si>
  <si>
    <t xml:space="preserve">Fórmula: media redondeada de las cuatro dificultades por temperamento. No editar a mano.</t>
  </si>
  <si>
    <t xml:space="preserve">dif_* (1–5)</t>
  </si>
  <si>
    <t xml:space="preserve">Cuánto cuesta este reto a cada temperamento. 1 = casi natural; 5 = va contra su inclinación. Estimación editorial a partir de los capítulos 'su desafío personal'. Revisable.</t>
  </si>
  <si>
    <t xml:space="preserve">Situación del día en la que el reto encaja mejor. El motor de selección lo cruza con la agenda del usuario.</t>
  </si>
  <si>
    <t xml:space="preserve">Uno de los siete obstáculos del catálogo, cuando aplica.</t>
  </si>
  <si>
    <t xml:space="preserve">sí = puede proponerse varias veces en un trimestre; no = reto de una sola vez o de baja frecuencia.</t>
  </si>
  <si>
    <t xml:space="preserve">Pregunta para el examen de conciencia nocturno; pensada para distinguir fallo de temperamento (primera reacción) y fallo de carácter (decisión).</t>
  </si>
  <si>
    <t xml:space="preserve">Libro, sección y cita breve que respaldan el reto. La cita es orientativa; verificar contra la edición en uso.</t>
  </si>
  <si>
    <t xml:space="preserve">Edición</t>
  </si>
  <si>
    <t xml:space="preserve">Las celdas de datos tienen validación de lista para virtud, facultad, tipo, ámbito y dificultades (1–5). Añadir filas al final de la tabla 'Retos'; el Resumen se recalcula solo.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</si>
</sst>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Retos" displayName="Retos" ref="A1:V114" headerRowCount="1" totalsRowCount="0" totalsRowShown="0">
  <autoFilter ref="A1:V114"/>
  <tableColumns count="22">
    <tableColumn id="1" name="id"/>
    <tableColumn id="2" name="texto"/>
    <tableColumn id="3" name="variante_corta"/>
    <tableColumn id="4" name="virtud"/>
    <tableColumn id="5" name="subcomponente"/>
    <tableColumn id="6" name="facultad"/>
    <tableColumn id="7" name="ambito"/>
    <tableColumn id="8" name="tipo"/>
    <tableColumn id="9" name="intensidad"/>
    <tableColumn id="10" name="minutos_estimados"/>
    <tableColumn id="11" name="requiere_otra_persona"/>
    <tableColumn id="12" name="disparador_contextual"/>
    <tableColumn id="13" name="dif_colerico"/>
    <tableColumn id="14" name="dif_melancolico"/>
    <tableColumn id="15" name="dif_sanguineo"/>
    <tableColumn id="16" name="dif_flematico"/>
    <tableColumn id="17" name="obstaculo_que_combate"/>
    <tableColumn id="18" name="repetible"/>
    <tableColumn id="19" name="pregunta_examen"/>
    <tableColumn id="20" name="fuente_libro"/>
    <tableColumn id="21" name="fuente_seccion"/>
    <tableColumn id="22" name="cita_literal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8"/>
    <col collapsed="false" customWidth="true" hidden="false" outlineLevel="0" max="3" min="3" style="0" width="30"/>
    <col collapsed="false" customWidth="true" hidden="false" outlineLevel="0" max="5" min="4" style="0" width="14"/>
    <col collapsed="false" customWidth="true" hidden="false" outlineLevel="0" max="6" min="6" style="0" width="10"/>
    <col collapsed="false" customWidth="true" hidden="false" outlineLevel="0" max="8" min="7" style="0" width="13"/>
    <col collapsed="false" customWidth="true" hidden="false" outlineLevel="0" max="10" min="9" style="0" width="10"/>
    <col collapsed="false" customWidth="true" hidden="false" outlineLevel="0" max="11" min="11" style="0" width="11"/>
    <col collapsed="false" customWidth="true" hidden="false" outlineLevel="0" max="12" min="12" style="0" width="26"/>
    <col collapsed="false" customWidth="true" hidden="false" outlineLevel="0" max="16" min="13" style="0" width="9"/>
    <col collapsed="false" customWidth="true" hidden="false" outlineLevel="0" max="17" min="17" style="0" width="17"/>
    <col collapsed="false" customWidth="true" hidden="false" outlineLevel="0" max="18" min="18" style="0" width="10"/>
    <col collapsed="false" customWidth="true" hidden="false" outlineLevel="0" max="19" min="19" style="0" width="48"/>
    <col collapsed="false" customWidth="true" hidden="false" outlineLevel="0" max="20" min="20" style="0" width="26"/>
    <col collapsed="false" customWidth="true" hidden="false" outlineLevel="0" max="21" min="21" style="0" width="34"/>
    <col collapsed="false" customWidth="true" hidden="false" outlineLevel="0" max="22" min="22" style="0" width="48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customFormat="false" ht="23.85" hidden="false" customHeight="false" outlineLevel="0" collapsed="false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3" t="n">
        <f aca="false">ROUND(AVERAGE(M2:P2),0)</f>
        <v>3</v>
      </c>
      <c r="J2" s="3" t="n">
        <v>10</v>
      </c>
      <c r="K2" s="2" t="s">
        <v>30</v>
      </c>
      <c r="L2" s="2" t="s">
        <v>31</v>
      </c>
      <c r="M2" s="4" t="n">
        <v>5</v>
      </c>
      <c r="N2" s="4" t="n">
        <v>2</v>
      </c>
      <c r="O2" s="4" t="n">
        <v>3</v>
      </c>
      <c r="P2" s="4" t="n">
        <v>2</v>
      </c>
      <c r="Q2" s="2" t="s">
        <v>32</v>
      </c>
      <c r="R2" s="2" t="s">
        <v>30</v>
      </c>
      <c r="S2" s="2" t="s">
        <v>33</v>
      </c>
      <c r="T2" s="2" t="s">
        <v>34</v>
      </c>
      <c r="U2" s="2" t="s">
        <v>35</v>
      </c>
      <c r="V2" s="2" t="s">
        <v>36</v>
      </c>
    </row>
    <row r="3" customFormat="false" ht="23.85" hidden="false" customHeight="false" outlineLevel="0" collapsed="false">
      <c r="A3" s="2" t="s">
        <v>37</v>
      </c>
      <c r="B3" s="2" t="s">
        <v>38</v>
      </c>
      <c r="C3" s="2" t="s">
        <v>39</v>
      </c>
      <c r="D3" s="2" t="s">
        <v>25</v>
      </c>
      <c r="E3" s="2" t="s">
        <v>40</v>
      </c>
      <c r="F3" s="2" t="s">
        <v>27</v>
      </c>
      <c r="G3" s="2" t="s">
        <v>28</v>
      </c>
      <c r="H3" s="2" t="s">
        <v>29</v>
      </c>
      <c r="I3" s="3" t="n">
        <f aca="false">ROUND(AVERAGE(M3:P3),0)</f>
        <v>3</v>
      </c>
      <c r="J3" s="3" t="n">
        <v>15</v>
      </c>
      <c r="K3" s="2" t="s">
        <v>41</v>
      </c>
      <c r="L3" s="2" t="s">
        <v>42</v>
      </c>
      <c r="M3" s="4" t="n">
        <v>1</v>
      </c>
      <c r="N3" s="4" t="n">
        <v>5</v>
      </c>
      <c r="O3" s="4" t="n">
        <v>2</v>
      </c>
      <c r="P3" s="4" t="n">
        <v>5</v>
      </c>
      <c r="Q3" s="2" t="s">
        <v>43</v>
      </c>
      <c r="R3" s="2" t="s">
        <v>30</v>
      </c>
      <c r="S3" s="2" t="s">
        <v>44</v>
      </c>
      <c r="T3" s="2" t="s">
        <v>34</v>
      </c>
      <c r="U3" s="2" t="s">
        <v>45</v>
      </c>
      <c r="V3" s="2" t="s">
        <v>46</v>
      </c>
    </row>
    <row r="4" customFormat="false" ht="23.85" hidden="false" customHeight="false" outlineLevel="0" collapsed="false">
      <c r="A4" s="2" t="s">
        <v>47</v>
      </c>
      <c r="B4" s="2" t="s">
        <v>48</v>
      </c>
      <c r="C4" s="2" t="s">
        <v>49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29</v>
      </c>
      <c r="I4" s="3" t="n">
        <f aca="false">ROUND(AVERAGE(M4:P4),0)</f>
        <v>3</v>
      </c>
      <c r="J4" s="3" t="n">
        <v>5</v>
      </c>
      <c r="K4" s="2" t="s">
        <v>41</v>
      </c>
      <c r="L4" s="2" t="s">
        <v>50</v>
      </c>
      <c r="M4" s="4" t="n">
        <v>3</v>
      </c>
      <c r="N4" s="4" t="n">
        <v>2</v>
      </c>
      <c r="O4" s="4" t="n">
        <v>4</v>
      </c>
      <c r="P4" s="4" t="n">
        <v>2</v>
      </c>
      <c r="Q4" s="2"/>
      <c r="R4" s="2" t="s">
        <v>30</v>
      </c>
      <c r="S4" s="2" t="s">
        <v>51</v>
      </c>
      <c r="T4" s="2" t="s">
        <v>52</v>
      </c>
      <c r="U4" s="2" t="s">
        <v>53</v>
      </c>
      <c r="V4" s="2" t="s">
        <v>54</v>
      </c>
    </row>
    <row r="5" customFormat="false" ht="23.85" hidden="false" customHeight="false" outlineLevel="0" collapsed="false">
      <c r="A5" s="2" t="s">
        <v>55</v>
      </c>
      <c r="B5" s="2" t="s">
        <v>56</v>
      </c>
      <c r="C5" s="2" t="s">
        <v>57</v>
      </c>
      <c r="D5" s="2" t="s">
        <v>25</v>
      </c>
      <c r="E5" s="2" t="s">
        <v>26</v>
      </c>
      <c r="F5" s="2" t="s">
        <v>27</v>
      </c>
      <c r="G5" s="2" t="s">
        <v>58</v>
      </c>
      <c r="H5" s="2" t="s">
        <v>59</v>
      </c>
      <c r="I5" s="3" t="n">
        <f aca="false">ROUND(AVERAGE(M5:P5),0)</f>
        <v>3</v>
      </c>
      <c r="J5" s="3" t="n">
        <v>10</v>
      </c>
      <c r="K5" s="2" t="s">
        <v>41</v>
      </c>
      <c r="L5" s="2"/>
      <c r="M5" s="4" t="n">
        <v>3</v>
      </c>
      <c r="N5" s="4" t="n">
        <v>2</v>
      </c>
      <c r="O5" s="4" t="n">
        <v>4</v>
      </c>
      <c r="P5" s="4" t="n">
        <v>3</v>
      </c>
      <c r="Q5" s="2" t="s">
        <v>60</v>
      </c>
      <c r="R5" s="2" t="s">
        <v>41</v>
      </c>
      <c r="S5" s="2" t="s">
        <v>61</v>
      </c>
      <c r="T5" s="2" t="s">
        <v>52</v>
      </c>
      <c r="U5" s="2" t="s">
        <v>53</v>
      </c>
      <c r="V5" s="2" t="s">
        <v>62</v>
      </c>
    </row>
    <row r="6" customFormat="false" ht="23.85" hidden="false" customHeight="false" outlineLevel="0" collapsed="false">
      <c r="A6" s="2" t="s">
        <v>63</v>
      </c>
      <c r="B6" s="2" t="s">
        <v>64</v>
      </c>
      <c r="C6" s="2" t="s">
        <v>65</v>
      </c>
      <c r="D6" s="2" t="s">
        <v>25</v>
      </c>
      <c r="E6" s="2" t="s">
        <v>40</v>
      </c>
      <c r="F6" s="2" t="s">
        <v>27</v>
      </c>
      <c r="G6" s="2" t="s">
        <v>28</v>
      </c>
      <c r="H6" s="2" t="s">
        <v>29</v>
      </c>
      <c r="I6" s="3" t="n">
        <f aca="false">ROUND(AVERAGE(M6:P6),0)</f>
        <v>3</v>
      </c>
      <c r="J6" s="3" t="n">
        <v>5</v>
      </c>
      <c r="K6" s="2" t="s">
        <v>30</v>
      </c>
      <c r="L6" s="2" t="s">
        <v>66</v>
      </c>
      <c r="M6" s="4" t="n">
        <v>5</v>
      </c>
      <c r="N6" s="4" t="n">
        <v>2</v>
      </c>
      <c r="O6" s="4" t="n">
        <v>3</v>
      </c>
      <c r="P6" s="4" t="n">
        <v>2</v>
      </c>
      <c r="Q6" s="2"/>
      <c r="R6" s="2" t="s">
        <v>30</v>
      </c>
      <c r="S6" s="2" t="s">
        <v>67</v>
      </c>
      <c r="T6" s="2" t="s">
        <v>52</v>
      </c>
      <c r="U6" s="2" t="s">
        <v>53</v>
      </c>
      <c r="V6" s="2" t="s">
        <v>68</v>
      </c>
    </row>
    <row r="7" customFormat="false" ht="35.05" hidden="false" customHeight="false" outlineLevel="0" collapsed="false">
      <c r="A7" s="2" t="s">
        <v>69</v>
      </c>
      <c r="B7" s="2" t="s">
        <v>70</v>
      </c>
      <c r="C7" s="2" t="s">
        <v>71</v>
      </c>
      <c r="D7" s="2" t="s">
        <v>25</v>
      </c>
      <c r="E7" s="2" t="s">
        <v>26</v>
      </c>
      <c r="F7" s="2" t="s">
        <v>27</v>
      </c>
      <c r="G7" s="2" t="s">
        <v>28</v>
      </c>
      <c r="H7" s="2" t="s">
        <v>29</v>
      </c>
      <c r="I7" s="3" t="n">
        <f aca="false">ROUND(AVERAGE(M7:P7),0)</f>
        <v>3</v>
      </c>
      <c r="J7" s="3" t="n">
        <v>5</v>
      </c>
      <c r="K7" s="2" t="s">
        <v>30</v>
      </c>
      <c r="L7" s="2" t="s">
        <v>72</v>
      </c>
      <c r="M7" s="4" t="n">
        <v>5</v>
      </c>
      <c r="N7" s="4" t="n">
        <v>3</v>
      </c>
      <c r="O7" s="4" t="n">
        <v>3</v>
      </c>
      <c r="P7" s="4" t="n">
        <v>2</v>
      </c>
      <c r="Q7" s="2"/>
      <c r="R7" s="2" t="s">
        <v>30</v>
      </c>
      <c r="S7" s="2" t="s">
        <v>73</v>
      </c>
      <c r="T7" s="2" t="s">
        <v>34</v>
      </c>
      <c r="U7" s="2" t="s">
        <v>35</v>
      </c>
      <c r="V7" s="2" t="s">
        <v>74</v>
      </c>
    </row>
    <row r="8" customFormat="false" ht="23.85" hidden="false" customHeight="false" outlineLevel="0" collapsed="false">
      <c r="A8" s="2" t="s">
        <v>75</v>
      </c>
      <c r="B8" s="2" t="s">
        <v>76</v>
      </c>
      <c r="C8" s="2" t="s">
        <v>77</v>
      </c>
      <c r="D8" s="2" t="s">
        <v>25</v>
      </c>
      <c r="E8" s="2" t="s">
        <v>40</v>
      </c>
      <c r="F8" s="2" t="s">
        <v>27</v>
      </c>
      <c r="G8" s="2" t="s">
        <v>28</v>
      </c>
      <c r="H8" s="2" t="s">
        <v>29</v>
      </c>
      <c r="I8" s="3" t="n">
        <f aca="false">ROUND(AVERAGE(M8:P8),0)</f>
        <v>3</v>
      </c>
      <c r="J8" s="3" t="n">
        <v>10</v>
      </c>
      <c r="K8" s="2" t="s">
        <v>41</v>
      </c>
      <c r="L8" s="2" t="s">
        <v>78</v>
      </c>
      <c r="M8" s="4" t="n">
        <v>1</v>
      </c>
      <c r="N8" s="4" t="n">
        <v>5</v>
      </c>
      <c r="O8" s="4" t="n">
        <v>2</v>
      </c>
      <c r="P8" s="4" t="n">
        <v>5</v>
      </c>
      <c r="Q8" s="2" t="s">
        <v>43</v>
      </c>
      <c r="R8" s="2" t="s">
        <v>30</v>
      </c>
      <c r="S8" s="2" t="s">
        <v>79</v>
      </c>
      <c r="T8" s="2" t="s">
        <v>34</v>
      </c>
      <c r="U8" s="2" t="s">
        <v>45</v>
      </c>
      <c r="V8" s="2" t="s">
        <v>80</v>
      </c>
    </row>
    <row r="9" customFormat="false" ht="23.85" hidden="false" customHeight="false" outlineLevel="0" collapsed="false">
      <c r="A9" s="2" t="s">
        <v>81</v>
      </c>
      <c r="B9" s="2" t="s">
        <v>82</v>
      </c>
      <c r="C9" s="2" t="s">
        <v>83</v>
      </c>
      <c r="D9" s="2" t="s">
        <v>25</v>
      </c>
      <c r="E9" s="2" t="s">
        <v>26</v>
      </c>
      <c r="F9" s="2" t="s">
        <v>27</v>
      </c>
      <c r="G9" s="2" t="s">
        <v>28</v>
      </c>
      <c r="H9" s="2" t="s">
        <v>29</v>
      </c>
      <c r="I9" s="3" t="n">
        <f aca="false">ROUND(AVERAGE(M9:P9),0)</f>
        <v>3</v>
      </c>
      <c r="J9" s="3" t="n">
        <v>15</v>
      </c>
      <c r="K9" s="2" t="s">
        <v>30</v>
      </c>
      <c r="L9" s="2" t="s">
        <v>84</v>
      </c>
      <c r="M9" s="4" t="n">
        <v>4</v>
      </c>
      <c r="N9" s="4" t="n">
        <v>3</v>
      </c>
      <c r="O9" s="4" t="n">
        <v>2</v>
      </c>
      <c r="P9" s="4" t="n">
        <v>2</v>
      </c>
      <c r="Q9" s="2" t="s">
        <v>32</v>
      </c>
      <c r="R9" s="2" t="s">
        <v>30</v>
      </c>
      <c r="S9" s="2" t="s">
        <v>85</v>
      </c>
      <c r="T9" s="2" t="s">
        <v>52</v>
      </c>
      <c r="U9" s="2" t="s">
        <v>53</v>
      </c>
      <c r="V9" s="2" t="s">
        <v>86</v>
      </c>
    </row>
    <row r="10" customFormat="false" ht="23.85" hidden="false" customHeight="false" outlineLevel="0" collapsed="false">
      <c r="A10" s="2" t="s">
        <v>87</v>
      </c>
      <c r="B10" s="2" t="s">
        <v>88</v>
      </c>
      <c r="C10" s="2" t="s">
        <v>89</v>
      </c>
      <c r="D10" s="2" t="s">
        <v>25</v>
      </c>
      <c r="E10" s="2" t="s">
        <v>26</v>
      </c>
      <c r="F10" s="2" t="s">
        <v>27</v>
      </c>
      <c r="G10" s="2" t="s">
        <v>58</v>
      </c>
      <c r="H10" s="2" t="s">
        <v>59</v>
      </c>
      <c r="I10" s="3" t="n">
        <f aca="false">ROUND(AVERAGE(M10:P10),0)</f>
        <v>3</v>
      </c>
      <c r="J10" s="3" t="n">
        <v>10</v>
      </c>
      <c r="K10" s="2" t="s">
        <v>41</v>
      </c>
      <c r="L10" s="2" t="s">
        <v>90</v>
      </c>
      <c r="M10" s="4" t="n">
        <v>2</v>
      </c>
      <c r="N10" s="4" t="n">
        <v>5</v>
      </c>
      <c r="O10" s="4" t="n">
        <v>2</v>
      </c>
      <c r="P10" s="4" t="n">
        <v>4</v>
      </c>
      <c r="Q10" s="2"/>
      <c r="R10" s="2" t="s">
        <v>30</v>
      </c>
      <c r="S10" s="2" t="s">
        <v>91</v>
      </c>
      <c r="T10" s="2" t="s">
        <v>34</v>
      </c>
      <c r="U10" s="2" t="s">
        <v>45</v>
      </c>
      <c r="V10" s="2" t="s">
        <v>92</v>
      </c>
    </row>
    <row r="11" customFormat="false" ht="23.85" hidden="false" customHeight="false" outlineLevel="0" collapsed="false">
      <c r="A11" s="2" t="s">
        <v>93</v>
      </c>
      <c r="B11" s="2" t="s">
        <v>94</v>
      </c>
      <c r="C11" s="2" t="s">
        <v>95</v>
      </c>
      <c r="D11" s="2" t="s">
        <v>25</v>
      </c>
      <c r="E11" s="2" t="s">
        <v>26</v>
      </c>
      <c r="F11" s="2" t="s">
        <v>27</v>
      </c>
      <c r="G11" s="2" t="s">
        <v>28</v>
      </c>
      <c r="H11" s="2" t="s">
        <v>29</v>
      </c>
      <c r="I11" s="3" t="n">
        <f aca="false">ROUND(AVERAGE(M11:P11),0)</f>
        <v>3</v>
      </c>
      <c r="J11" s="3" t="n">
        <v>10</v>
      </c>
      <c r="K11" s="2" t="s">
        <v>41</v>
      </c>
      <c r="L11" s="2" t="s">
        <v>96</v>
      </c>
      <c r="M11" s="4" t="n">
        <v>5</v>
      </c>
      <c r="N11" s="4" t="n">
        <v>3</v>
      </c>
      <c r="O11" s="4" t="n">
        <v>3</v>
      </c>
      <c r="P11" s="4" t="n">
        <v>2</v>
      </c>
      <c r="Q11" s="2"/>
      <c r="R11" s="2" t="s">
        <v>30</v>
      </c>
      <c r="S11" s="2" t="s">
        <v>97</v>
      </c>
      <c r="T11" s="2" t="s">
        <v>52</v>
      </c>
      <c r="U11" s="2" t="s">
        <v>53</v>
      </c>
      <c r="V11" s="2" t="s">
        <v>98</v>
      </c>
    </row>
    <row r="12" customFormat="false" ht="23.85" hidden="false" customHeight="false" outlineLevel="0" collapsed="false">
      <c r="A12" s="2" t="s">
        <v>99</v>
      </c>
      <c r="B12" s="2" t="s">
        <v>100</v>
      </c>
      <c r="C12" s="2" t="s">
        <v>101</v>
      </c>
      <c r="D12" s="2" t="s">
        <v>25</v>
      </c>
      <c r="E12" s="2" t="s">
        <v>26</v>
      </c>
      <c r="F12" s="2" t="s">
        <v>27</v>
      </c>
      <c r="G12" s="2" t="s">
        <v>28</v>
      </c>
      <c r="H12" s="2" t="s">
        <v>29</v>
      </c>
      <c r="I12" s="3" t="n">
        <f aca="false">ROUND(AVERAGE(M12:P12),0)</f>
        <v>3</v>
      </c>
      <c r="J12" s="3" t="n">
        <v>10</v>
      </c>
      <c r="K12" s="2" t="s">
        <v>41</v>
      </c>
      <c r="L12" s="2" t="s">
        <v>102</v>
      </c>
      <c r="M12" s="4" t="n">
        <v>3</v>
      </c>
      <c r="N12" s="4" t="n">
        <v>1</v>
      </c>
      <c r="O12" s="4" t="n">
        <v>5</v>
      </c>
      <c r="P12" s="4" t="n">
        <v>2</v>
      </c>
      <c r="Q12" s="2"/>
      <c r="R12" s="2" t="s">
        <v>30</v>
      </c>
      <c r="S12" s="2" t="s">
        <v>103</v>
      </c>
      <c r="T12" s="2" t="s">
        <v>34</v>
      </c>
      <c r="U12" s="2" t="s">
        <v>104</v>
      </c>
      <c r="V12" s="2" t="s">
        <v>105</v>
      </c>
    </row>
    <row r="13" customFormat="false" ht="23.85" hidden="false" customHeight="false" outlineLevel="0" collapsed="false">
      <c r="A13" s="2" t="s">
        <v>106</v>
      </c>
      <c r="B13" s="2" t="s">
        <v>107</v>
      </c>
      <c r="C13" s="2" t="s">
        <v>108</v>
      </c>
      <c r="D13" s="2" t="s">
        <v>25</v>
      </c>
      <c r="E13" s="2" t="s">
        <v>40</v>
      </c>
      <c r="F13" s="2" t="s">
        <v>27</v>
      </c>
      <c r="G13" s="2" t="s">
        <v>28</v>
      </c>
      <c r="H13" s="2" t="s">
        <v>29</v>
      </c>
      <c r="I13" s="3" t="n">
        <f aca="false">ROUND(AVERAGE(M13:P13),0)</f>
        <v>3</v>
      </c>
      <c r="J13" s="3" t="n">
        <v>15</v>
      </c>
      <c r="K13" s="2" t="s">
        <v>41</v>
      </c>
      <c r="L13" s="2" t="s">
        <v>109</v>
      </c>
      <c r="M13" s="4" t="n">
        <v>1</v>
      </c>
      <c r="N13" s="4" t="n">
        <v>4</v>
      </c>
      <c r="O13" s="4" t="n">
        <v>3</v>
      </c>
      <c r="P13" s="4" t="n">
        <v>4</v>
      </c>
      <c r="Q13" s="2"/>
      <c r="R13" s="2" t="s">
        <v>30</v>
      </c>
      <c r="S13" s="2" t="s">
        <v>110</v>
      </c>
      <c r="T13" s="2" t="s">
        <v>34</v>
      </c>
      <c r="U13" s="2" t="s">
        <v>111</v>
      </c>
      <c r="V13" s="2" t="s">
        <v>112</v>
      </c>
    </row>
    <row r="14" customFormat="false" ht="23.85" hidden="false" customHeight="false" outlineLevel="0" collapsed="false">
      <c r="A14" s="2" t="s">
        <v>113</v>
      </c>
      <c r="B14" s="2" t="s">
        <v>114</v>
      </c>
      <c r="C14" s="2" t="s">
        <v>115</v>
      </c>
      <c r="D14" s="2" t="s">
        <v>116</v>
      </c>
      <c r="E14" s="2" t="s">
        <v>117</v>
      </c>
      <c r="F14" s="2" t="s">
        <v>118</v>
      </c>
      <c r="G14" s="2" t="s">
        <v>28</v>
      </c>
      <c r="H14" s="2" t="s">
        <v>29</v>
      </c>
      <c r="I14" s="3" t="n">
        <f aca="false">ROUND(AVERAGE(M14:P14),0)</f>
        <v>3</v>
      </c>
      <c r="J14" s="3" t="n">
        <v>5</v>
      </c>
      <c r="K14" s="2" t="s">
        <v>30</v>
      </c>
      <c r="L14" s="2" t="s">
        <v>119</v>
      </c>
      <c r="M14" s="4" t="n">
        <v>1</v>
      </c>
      <c r="N14" s="4" t="n">
        <v>5</v>
      </c>
      <c r="O14" s="4" t="n">
        <v>2</v>
      </c>
      <c r="P14" s="4" t="n">
        <v>4</v>
      </c>
      <c r="Q14" s="2" t="s">
        <v>60</v>
      </c>
      <c r="R14" s="2" t="s">
        <v>41</v>
      </c>
      <c r="S14" s="2" t="s">
        <v>120</v>
      </c>
      <c r="T14" s="2" t="s">
        <v>34</v>
      </c>
      <c r="U14" s="2" t="s">
        <v>111</v>
      </c>
      <c r="V14" s="2" t="s">
        <v>121</v>
      </c>
    </row>
    <row r="15" customFormat="false" ht="23.85" hidden="false" customHeight="false" outlineLevel="0" collapsed="false">
      <c r="A15" s="2" t="s">
        <v>122</v>
      </c>
      <c r="B15" s="2" t="s">
        <v>123</v>
      </c>
      <c r="C15" s="2" t="s">
        <v>124</v>
      </c>
      <c r="D15" s="2" t="s">
        <v>116</v>
      </c>
      <c r="E15" s="2" t="s">
        <v>117</v>
      </c>
      <c r="F15" s="2" t="s">
        <v>118</v>
      </c>
      <c r="G15" s="2" t="s">
        <v>125</v>
      </c>
      <c r="H15" s="2" t="s">
        <v>29</v>
      </c>
      <c r="I15" s="3" t="n">
        <f aca="false">ROUND(AVERAGE(M15:P15),0)</f>
        <v>3</v>
      </c>
      <c r="J15" s="3" t="n">
        <v>10</v>
      </c>
      <c r="K15" s="2" t="s">
        <v>30</v>
      </c>
      <c r="L15" s="2"/>
      <c r="M15" s="4" t="n">
        <v>1</v>
      </c>
      <c r="N15" s="4" t="n">
        <v>5</v>
      </c>
      <c r="O15" s="4" t="n">
        <v>1</v>
      </c>
      <c r="P15" s="4" t="n">
        <v>4</v>
      </c>
      <c r="Q15" s="2"/>
      <c r="R15" s="2" t="s">
        <v>30</v>
      </c>
      <c r="S15" s="2" t="s">
        <v>126</v>
      </c>
      <c r="T15" s="2" t="s">
        <v>34</v>
      </c>
      <c r="U15" s="2" t="s">
        <v>111</v>
      </c>
      <c r="V15" s="2" t="s">
        <v>127</v>
      </c>
    </row>
    <row r="16" customFormat="false" ht="23.85" hidden="false" customHeight="false" outlineLevel="0" collapsed="false">
      <c r="A16" s="2" t="s">
        <v>128</v>
      </c>
      <c r="B16" s="2" t="s">
        <v>129</v>
      </c>
      <c r="C16" s="2" t="s">
        <v>130</v>
      </c>
      <c r="D16" s="2" t="s">
        <v>116</v>
      </c>
      <c r="E16" s="2" t="s">
        <v>117</v>
      </c>
      <c r="F16" s="2" t="s">
        <v>118</v>
      </c>
      <c r="G16" s="2" t="s">
        <v>28</v>
      </c>
      <c r="H16" s="2" t="s">
        <v>29</v>
      </c>
      <c r="I16" s="3" t="n">
        <f aca="false">ROUND(AVERAGE(M16:P16),0)</f>
        <v>3</v>
      </c>
      <c r="J16" s="3" t="n">
        <v>20</v>
      </c>
      <c r="K16" s="2" t="s">
        <v>41</v>
      </c>
      <c r="L16" s="2" t="s">
        <v>131</v>
      </c>
      <c r="M16" s="4" t="n">
        <v>1</v>
      </c>
      <c r="N16" s="4" t="n">
        <v>5</v>
      </c>
      <c r="O16" s="4" t="n">
        <v>2</v>
      </c>
      <c r="P16" s="4" t="n">
        <v>5</v>
      </c>
      <c r="Q16" s="2" t="s">
        <v>43</v>
      </c>
      <c r="R16" s="2" t="s">
        <v>41</v>
      </c>
      <c r="S16" s="2" t="s">
        <v>132</v>
      </c>
      <c r="T16" s="2" t="s">
        <v>34</v>
      </c>
      <c r="U16" s="2" t="s">
        <v>133</v>
      </c>
      <c r="V16" s="2" t="s">
        <v>134</v>
      </c>
    </row>
    <row r="17" customFormat="false" ht="23.85" hidden="false" customHeight="false" outlineLevel="0" collapsed="false">
      <c r="A17" s="2" t="s">
        <v>135</v>
      </c>
      <c r="B17" s="2" t="s">
        <v>136</v>
      </c>
      <c r="C17" s="2" t="s">
        <v>137</v>
      </c>
      <c r="D17" s="2" t="s">
        <v>116</v>
      </c>
      <c r="E17" s="2" t="s">
        <v>117</v>
      </c>
      <c r="F17" s="2" t="s">
        <v>118</v>
      </c>
      <c r="G17" s="2" t="s">
        <v>28</v>
      </c>
      <c r="H17" s="2" t="s">
        <v>29</v>
      </c>
      <c r="I17" s="3" t="n">
        <f aca="false">ROUND(AVERAGE(M17:P17),0)</f>
        <v>4</v>
      </c>
      <c r="J17" s="3" t="n">
        <v>15</v>
      </c>
      <c r="K17" s="2" t="s">
        <v>30</v>
      </c>
      <c r="L17" s="2" t="s">
        <v>138</v>
      </c>
      <c r="M17" s="4" t="n">
        <v>1</v>
      </c>
      <c r="N17" s="4" t="n">
        <v>4</v>
      </c>
      <c r="O17" s="4" t="n">
        <v>4</v>
      </c>
      <c r="P17" s="4" t="n">
        <v>5</v>
      </c>
      <c r="Q17" s="2" t="s">
        <v>60</v>
      </c>
      <c r="R17" s="2" t="s">
        <v>30</v>
      </c>
      <c r="S17" s="2" t="s">
        <v>139</v>
      </c>
      <c r="T17" s="2" t="s">
        <v>52</v>
      </c>
      <c r="U17" s="2" t="s">
        <v>140</v>
      </c>
      <c r="V17" s="2" t="s">
        <v>141</v>
      </c>
    </row>
    <row r="18" customFormat="false" ht="23.85" hidden="false" customHeight="false" outlineLevel="0" collapsed="false">
      <c r="A18" s="2" t="s">
        <v>142</v>
      </c>
      <c r="B18" s="2" t="s">
        <v>143</v>
      </c>
      <c r="C18" s="2" t="s">
        <v>144</v>
      </c>
      <c r="D18" s="2" t="s">
        <v>116</v>
      </c>
      <c r="E18" s="2" t="s">
        <v>117</v>
      </c>
      <c r="F18" s="2" t="s">
        <v>118</v>
      </c>
      <c r="G18" s="2" t="s">
        <v>58</v>
      </c>
      <c r="H18" s="2" t="s">
        <v>59</v>
      </c>
      <c r="I18" s="3" t="n">
        <f aca="false">ROUND(AVERAGE(M18:P18),0)</f>
        <v>3</v>
      </c>
      <c r="J18" s="3" t="n">
        <v>5</v>
      </c>
      <c r="K18" s="2" t="s">
        <v>41</v>
      </c>
      <c r="L18" s="2" t="s">
        <v>145</v>
      </c>
      <c r="M18" s="4" t="n">
        <v>2</v>
      </c>
      <c r="N18" s="4" t="n">
        <v>3</v>
      </c>
      <c r="O18" s="4" t="n">
        <v>3</v>
      </c>
      <c r="P18" s="4" t="n">
        <v>4</v>
      </c>
      <c r="Q18" s="2"/>
      <c r="R18" s="2" t="s">
        <v>30</v>
      </c>
      <c r="S18" s="2" t="s">
        <v>146</v>
      </c>
      <c r="T18" s="2" t="s">
        <v>34</v>
      </c>
      <c r="U18" s="2" t="s">
        <v>111</v>
      </c>
      <c r="V18" s="2" t="s">
        <v>147</v>
      </c>
    </row>
    <row r="19" customFormat="false" ht="23.85" hidden="false" customHeight="false" outlineLevel="0" collapsed="false">
      <c r="A19" s="2" t="s">
        <v>148</v>
      </c>
      <c r="B19" s="2" t="s">
        <v>149</v>
      </c>
      <c r="C19" s="2" t="s">
        <v>150</v>
      </c>
      <c r="D19" s="2" t="s">
        <v>116</v>
      </c>
      <c r="E19" s="2" t="s">
        <v>117</v>
      </c>
      <c r="F19" s="2" t="s">
        <v>118</v>
      </c>
      <c r="G19" s="2" t="s">
        <v>28</v>
      </c>
      <c r="H19" s="2" t="s">
        <v>29</v>
      </c>
      <c r="I19" s="3" t="n">
        <f aca="false">ROUND(AVERAGE(M19:P19),0)</f>
        <v>3</v>
      </c>
      <c r="J19" s="3" t="n">
        <v>15</v>
      </c>
      <c r="K19" s="2" t="s">
        <v>41</v>
      </c>
      <c r="L19" s="2" t="s">
        <v>151</v>
      </c>
      <c r="M19" s="4" t="n">
        <v>1</v>
      </c>
      <c r="N19" s="4" t="n">
        <v>5</v>
      </c>
      <c r="O19" s="4" t="n">
        <v>2</v>
      </c>
      <c r="P19" s="4" t="n">
        <v>4</v>
      </c>
      <c r="Q19" s="2" t="s">
        <v>43</v>
      </c>
      <c r="R19" s="2" t="s">
        <v>30</v>
      </c>
      <c r="S19" s="2" t="s">
        <v>152</v>
      </c>
      <c r="T19" s="2" t="s">
        <v>34</v>
      </c>
      <c r="U19" s="2" t="s">
        <v>45</v>
      </c>
      <c r="V19" s="2" t="s">
        <v>153</v>
      </c>
    </row>
    <row r="20" customFormat="false" ht="23.85" hidden="false" customHeight="false" outlineLevel="0" collapsed="false">
      <c r="A20" s="2" t="s">
        <v>154</v>
      </c>
      <c r="B20" s="2" t="s">
        <v>155</v>
      </c>
      <c r="C20" s="2" t="s">
        <v>156</v>
      </c>
      <c r="D20" s="2" t="s">
        <v>116</v>
      </c>
      <c r="E20" s="2" t="s">
        <v>117</v>
      </c>
      <c r="F20" s="2" t="s">
        <v>118</v>
      </c>
      <c r="G20" s="2" t="s">
        <v>28</v>
      </c>
      <c r="H20" s="2" t="s">
        <v>29</v>
      </c>
      <c r="I20" s="3" t="n">
        <f aca="false">ROUND(AVERAGE(M20:P20),0)</f>
        <v>4</v>
      </c>
      <c r="J20" s="3" t="n">
        <v>10</v>
      </c>
      <c r="K20" s="2" t="s">
        <v>30</v>
      </c>
      <c r="L20" s="2" t="s">
        <v>157</v>
      </c>
      <c r="M20" s="4" t="n">
        <v>2</v>
      </c>
      <c r="N20" s="4" t="n">
        <v>4</v>
      </c>
      <c r="O20" s="4" t="n">
        <v>3</v>
      </c>
      <c r="P20" s="4" t="n">
        <v>5</v>
      </c>
      <c r="Q20" s="2" t="s">
        <v>60</v>
      </c>
      <c r="R20" s="2" t="s">
        <v>41</v>
      </c>
      <c r="S20" s="2" t="s">
        <v>158</v>
      </c>
      <c r="T20" s="2" t="s">
        <v>34</v>
      </c>
      <c r="U20" s="2" t="s">
        <v>133</v>
      </c>
      <c r="V20" s="2" t="s">
        <v>159</v>
      </c>
    </row>
    <row r="21" customFormat="false" ht="23.85" hidden="false" customHeight="false" outlineLevel="0" collapsed="false">
      <c r="A21" s="2" t="s">
        <v>160</v>
      </c>
      <c r="B21" s="2" t="s">
        <v>161</v>
      </c>
      <c r="C21" s="2" t="s">
        <v>162</v>
      </c>
      <c r="D21" s="2" t="s">
        <v>116</v>
      </c>
      <c r="E21" s="2" t="s">
        <v>117</v>
      </c>
      <c r="F21" s="2" t="s">
        <v>118</v>
      </c>
      <c r="G21" s="2" t="s">
        <v>163</v>
      </c>
      <c r="H21" s="2" t="s">
        <v>29</v>
      </c>
      <c r="I21" s="3" t="n">
        <f aca="false">ROUND(AVERAGE(M21:P21),0)</f>
        <v>3</v>
      </c>
      <c r="J21" s="3" t="n">
        <v>30</v>
      </c>
      <c r="K21" s="2" t="s">
        <v>41</v>
      </c>
      <c r="L21" s="2"/>
      <c r="M21" s="4" t="n">
        <v>1</v>
      </c>
      <c r="N21" s="4" t="n">
        <v>3</v>
      </c>
      <c r="O21" s="4" t="n">
        <v>1</v>
      </c>
      <c r="P21" s="4" t="n">
        <v>5</v>
      </c>
      <c r="Q21" s="2" t="s">
        <v>60</v>
      </c>
      <c r="R21" s="2" t="s">
        <v>30</v>
      </c>
      <c r="S21" s="2" t="s">
        <v>164</v>
      </c>
      <c r="T21" s="2" t="s">
        <v>34</v>
      </c>
      <c r="U21" s="2" t="s">
        <v>133</v>
      </c>
      <c r="V21" s="2" t="s">
        <v>165</v>
      </c>
    </row>
    <row r="22" customFormat="false" ht="23.85" hidden="false" customHeight="false" outlineLevel="0" collapsed="false">
      <c r="A22" s="2" t="s">
        <v>166</v>
      </c>
      <c r="B22" s="2" t="s">
        <v>167</v>
      </c>
      <c r="C22" s="2" t="s">
        <v>168</v>
      </c>
      <c r="D22" s="2" t="s">
        <v>116</v>
      </c>
      <c r="E22" s="2" t="s">
        <v>117</v>
      </c>
      <c r="F22" s="2" t="s">
        <v>118</v>
      </c>
      <c r="G22" s="2" t="s">
        <v>28</v>
      </c>
      <c r="H22" s="2" t="s">
        <v>29</v>
      </c>
      <c r="I22" s="3" t="n">
        <f aca="false">ROUND(AVERAGE(M22:P22),0)</f>
        <v>3</v>
      </c>
      <c r="J22" s="3" t="n">
        <v>10</v>
      </c>
      <c r="K22" s="2" t="s">
        <v>30</v>
      </c>
      <c r="L22" s="2" t="s">
        <v>169</v>
      </c>
      <c r="M22" s="4" t="n">
        <v>2</v>
      </c>
      <c r="N22" s="4" t="n">
        <v>3</v>
      </c>
      <c r="O22" s="4" t="n">
        <v>2</v>
      </c>
      <c r="P22" s="4" t="n">
        <v>4</v>
      </c>
      <c r="Q22" s="2"/>
      <c r="R22" s="2" t="s">
        <v>30</v>
      </c>
      <c r="S22" s="2" t="s">
        <v>170</v>
      </c>
      <c r="T22" s="2" t="s">
        <v>52</v>
      </c>
      <c r="U22" s="2" t="s">
        <v>140</v>
      </c>
      <c r="V22" s="2" t="s">
        <v>171</v>
      </c>
    </row>
    <row r="23" customFormat="false" ht="23.85" hidden="false" customHeight="false" outlineLevel="0" collapsed="false">
      <c r="A23" s="2" t="s">
        <v>172</v>
      </c>
      <c r="B23" s="2" t="s">
        <v>173</v>
      </c>
      <c r="C23" s="2" t="s">
        <v>174</v>
      </c>
      <c r="D23" s="2" t="s">
        <v>116</v>
      </c>
      <c r="E23" s="2" t="s">
        <v>117</v>
      </c>
      <c r="F23" s="2" t="s">
        <v>118</v>
      </c>
      <c r="G23" s="2" t="s">
        <v>58</v>
      </c>
      <c r="H23" s="2" t="s">
        <v>29</v>
      </c>
      <c r="I23" s="3" t="n">
        <f aca="false">ROUND(AVERAGE(M23:P23),0)</f>
        <v>4</v>
      </c>
      <c r="J23" s="3" t="n">
        <v>20</v>
      </c>
      <c r="K23" s="2" t="s">
        <v>41</v>
      </c>
      <c r="L23" s="2"/>
      <c r="M23" s="4" t="n">
        <v>2</v>
      </c>
      <c r="N23" s="4" t="n">
        <v>5</v>
      </c>
      <c r="O23" s="4" t="n">
        <v>3</v>
      </c>
      <c r="P23" s="4" t="n">
        <v>5</v>
      </c>
      <c r="Q23" s="2" t="s">
        <v>175</v>
      </c>
      <c r="R23" s="2" t="s">
        <v>41</v>
      </c>
      <c r="S23" s="2" t="s">
        <v>176</v>
      </c>
      <c r="T23" s="2" t="s">
        <v>177</v>
      </c>
      <c r="U23" s="2" t="s">
        <v>178</v>
      </c>
      <c r="V23" s="2" t="s">
        <v>179</v>
      </c>
    </row>
    <row r="24" customFormat="false" ht="23.85" hidden="false" customHeight="false" outlineLevel="0" collapsed="false">
      <c r="A24" s="2" t="s">
        <v>180</v>
      </c>
      <c r="B24" s="2" t="s">
        <v>181</v>
      </c>
      <c r="C24" s="2" t="s">
        <v>182</v>
      </c>
      <c r="D24" s="2" t="s">
        <v>116</v>
      </c>
      <c r="E24" s="2" t="s">
        <v>117</v>
      </c>
      <c r="F24" s="2" t="s">
        <v>118</v>
      </c>
      <c r="G24" s="2" t="s">
        <v>58</v>
      </c>
      <c r="H24" s="2" t="s">
        <v>29</v>
      </c>
      <c r="I24" s="3" t="n">
        <f aca="false">ROUND(AVERAGE(M24:P24),0)</f>
        <v>3</v>
      </c>
      <c r="J24" s="3" t="n">
        <v>15</v>
      </c>
      <c r="K24" s="2" t="s">
        <v>41</v>
      </c>
      <c r="L24" s="2" t="s">
        <v>183</v>
      </c>
      <c r="M24" s="4" t="n">
        <v>1</v>
      </c>
      <c r="N24" s="4" t="n">
        <v>5</v>
      </c>
      <c r="O24" s="4" t="n">
        <v>2</v>
      </c>
      <c r="P24" s="4" t="n">
        <v>5</v>
      </c>
      <c r="Q24" s="2" t="s">
        <v>60</v>
      </c>
      <c r="R24" s="2" t="s">
        <v>30</v>
      </c>
      <c r="S24" s="2" t="s">
        <v>184</v>
      </c>
      <c r="T24" s="2" t="s">
        <v>177</v>
      </c>
      <c r="U24" s="2" t="s">
        <v>185</v>
      </c>
      <c r="V24" s="2" t="s">
        <v>186</v>
      </c>
    </row>
    <row r="25" customFormat="false" ht="23.85" hidden="false" customHeight="false" outlineLevel="0" collapsed="false">
      <c r="A25" s="2" t="s">
        <v>187</v>
      </c>
      <c r="B25" s="2" t="s">
        <v>188</v>
      </c>
      <c r="C25" s="2" t="s">
        <v>189</v>
      </c>
      <c r="D25" s="2" t="s">
        <v>116</v>
      </c>
      <c r="E25" s="2" t="s">
        <v>190</v>
      </c>
      <c r="F25" s="2" t="s">
        <v>118</v>
      </c>
      <c r="G25" s="2" t="s">
        <v>28</v>
      </c>
      <c r="H25" s="2" t="s">
        <v>29</v>
      </c>
      <c r="I25" s="3" t="n">
        <f aca="false">ROUND(AVERAGE(M25:P25),0)</f>
        <v>3</v>
      </c>
      <c r="J25" s="3" t="n">
        <v>45</v>
      </c>
      <c r="K25" s="2" t="s">
        <v>41</v>
      </c>
      <c r="L25" s="2" t="s">
        <v>191</v>
      </c>
      <c r="M25" s="4" t="n">
        <v>2</v>
      </c>
      <c r="N25" s="4" t="n">
        <v>2</v>
      </c>
      <c r="O25" s="4" t="n">
        <v>5</v>
      </c>
      <c r="P25" s="4" t="n">
        <v>2</v>
      </c>
      <c r="Q25" s="2"/>
      <c r="R25" s="2" t="s">
        <v>30</v>
      </c>
      <c r="S25" s="2" t="s">
        <v>192</v>
      </c>
      <c r="T25" s="2" t="s">
        <v>34</v>
      </c>
      <c r="U25" s="2" t="s">
        <v>193</v>
      </c>
      <c r="V25" s="2" t="s">
        <v>194</v>
      </c>
    </row>
    <row r="26" customFormat="false" ht="23.85" hidden="false" customHeight="false" outlineLevel="0" collapsed="false">
      <c r="A26" s="2" t="s">
        <v>195</v>
      </c>
      <c r="B26" s="2" t="s">
        <v>196</v>
      </c>
      <c r="C26" s="2" t="s">
        <v>197</v>
      </c>
      <c r="D26" s="2" t="s">
        <v>116</v>
      </c>
      <c r="E26" s="2" t="s">
        <v>190</v>
      </c>
      <c r="F26" s="2" t="s">
        <v>118</v>
      </c>
      <c r="G26" s="2" t="s">
        <v>28</v>
      </c>
      <c r="H26" s="2" t="s">
        <v>29</v>
      </c>
      <c r="I26" s="3" t="n">
        <f aca="false">ROUND(AVERAGE(M26:P26),0)</f>
        <v>3</v>
      </c>
      <c r="J26" s="3" t="n">
        <v>60</v>
      </c>
      <c r="K26" s="2" t="s">
        <v>41</v>
      </c>
      <c r="L26" s="2" t="s">
        <v>198</v>
      </c>
      <c r="M26" s="4" t="n">
        <v>2</v>
      </c>
      <c r="N26" s="4" t="n">
        <v>3</v>
      </c>
      <c r="O26" s="4" t="n">
        <v>5</v>
      </c>
      <c r="P26" s="4" t="n">
        <v>3</v>
      </c>
      <c r="Q26" s="2"/>
      <c r="R26" s="2" t="s">
        <v>30</v>
      </c>
      <c r="S26" s="2" t="s">
        <v>199</v>
      </c>
      <c r="T26" s="2" t="s">
        <v>34</v>
      </c>
      <c r="U26" s="2" t="s">
        <v>193</v>
      </c>
      <c r="V26" s="2" t="s">
        <v>200</v>
      </c>
    </row>
    <row r="27" customFormat="false" ht="23.85" hidden="false" customHeight="false" outlineLevel="0" collapsed="false">
      <c r="A27" s="2" t="s">
        <v>201</v>
      </c>
      <c r="B27" s="2" t="s">
        <v>202</v>
      </c>
      <c r="C27" s="2" t="s">
        <v>203</v>
      </c>
      <c r="D27" s="2" t="s">
        <v>116</v>
      </c>
      <c r="E27" s="2" t="s">
        <v>190</v>
      </c>
      <c r="F27" s="2" t="s">
        <v>118</v>
      </c>
      <c r="G27" s="2" t="s">
        <v>163</v>
      </c>
      <c r="H27" s="2" t="s">
        <v>29</v>
      </c>
      <c r="I27" s="3" t="n">
        <f aca="false">ROUND(AVERAGE(M27:P27),0)</f>
        <v>3</v>
      </c>
      <c r="J27" s="3" t="n">
        <v>1</v>
      </c>
      <c r="K27" s="2" t="s">
        <v>30</v>
      </c>
      <c r="L27" s="2" t="s">
        <v>204</v>
      </c>
      <c r="M27" s="4" t="n">
        <v>3</v>
      </c>
      <c r="N27" s="4" t="n">
        <v>5</v>
      </c>
      <c r="O27" s="4" t="n">
        <v>2</v>
      </c>
      <c r="P27" s="4" t="n">
        <v>2</v>
      </c>
      <c r="Q27" s="2"/>
      <c r="R27" s="2" t="s">
        <v>30</v>
      </c>
      <c r="S27" s="2" t="s">
        <v>205</v>
      </c>
      <c r="T27" s="2" t="s">
        <v>34</v>
      </c>
      <c r="U27" s="2" t="s">
        <v>193</v>
      </c>
      <c r="V27" s="2" t="s">
        <v>206</v>
      </c>
    </row>
    <row r="28" customFormat="false" ht="23.85" hidden="false" customHeight="false" outlineLevel="0" collapsed="false">
      <c r="A28" s="2" t="s">
        <v>207</v>
      </c>
      <c r="B28" s="2" t="s">
        <v>208</v>
      </c>
      <c r="C28" s="2" t="s">
        <v>209</v>
      </c>
      <c r="D28" s="2" t="s">
        <v>116</v>
      </c>
      <c r="E28" s="2" t="s">
        <v>190</v>
      </c>
      <c r="F28" s="2" t="s">
        <v>118</v>
      </c>
      <c r="G28" s="2" t="s">
        <v>28</v>
      </c>
      <c r="H28" s="2" t="s">
        <v>29</v>
      </c>
      <c r="I28" s="3" t="n">
        <f aca="false">ROUND(AVERAGE(M28:P28),0)</f>
        <v>3</v>
      </c>
      <c r="J28" s="3" t="n">
        <v>5</v>
      </c>
      <c r="K28" s="2" t="s">
        <v>30</v>
      </c>
      <c r="L28" s="2" t="s">
        <v>210</v>
      </c>
      <c r="M28" s="4" t="n">
        <v>4</v>
      </c>
      <c r="N28" s="4" t="n">
        <v>4</v>
      </c>
      <c r="O28" s="4" t="n">
        <v>3</v>
      </c>
      <c r="P28" s="4" t="n">
        <v>2</v>
      </c>
      <c r="Q28" s="2" t="s">
        <v>211</v>
      </c>
      <c r="R28" s="2" t="s">
        <v>30</v>
      </c>
      <c r="S28" s="2" t="s">
        <v>212</v>
      </c>
      <c r="T28" s="2" t="s">
        <v>34</v>
      </c>
      <c r="U28" s="2" t="s">
        <v>193</v>
      </c>
      <c r="V28" s="2" t="s">
        <v>213</v>
      </c>
    </row>
    <row r="29" customFormat="false" ht="23.85" hidden="false" customHeight="false" outlineLevel="0" collapsed="false">
      <c r="A29" s="2" t="s">
        <v>214</v>
      </c>
      <c r="B29" s="2" t="s">
        <v>215</v>
      </c>
      <c r="C29" s="2" t="s">
        <v>216</v>
      </c>
      <c r="D29" s="2" t="s">
        <v>116</v>
      </c>
      <c r="E29" s="2" t="s">
        <v>190</v>
      </c>
      <c r="F29" s="2" t="s">
        <v>118</v>
      </c>
      <c r="G29" s="2" t="s">
        <v>125</v>
      </c>
      <c r="H29" s="2" t="s">
        <v>217</v>
      </c>
      <c r="I29" s="3" t="n">
        <f aca="false">ROUND(AVERAGE(M29:P29),0)</f>
        <v>4</v>
      </c>
      <c r="J29" s="3" t="n">
        <v>1</v>
      </c>
      <c r="K29" s="2" t="s">
        <v>30</v>
      </c>
      <c r="L29" s="2" t="s">
        <v>218</v>
      </c>
      <c r="M29" s="4" t="n">
        <v>4</v>
      </c>
      <c r="N29" s="4" t="n">
        <v>5</v>
      </c>
      <c r="O29" s="4" t="n">
        <v>3</v>
      </c>
      <c r="P29" s="4" t="n">
        <v>2</v>
      </c>
      <c r="Q29" s="2"/>
      <c r="R29" s="2" t="s">
        <v>30</v>
      </c>
      <c r="S29" s="2" t="s">
        <v>219</v>
      </c>
      <c r="T29" s="2" t="s">
        <v>34</v>
      </c>
      <c r="U29" s="2" t="s">
        <v>193</v>
      </c>
      <c r="V29" s="2" t="s">
        <v>220</v>
      </c>
    </row>
    <row r="30" customFormat="false" ht="23.85" hidden="false" customHeight="false" outlineLevel="0" collapsed="false">
      <c r="A30" s="2" t="s">
        <v>221</v>
      </c>
      <c r="B30" s="2" t="s">
        <v>222</v>
      </c>
      <c r="C30" s="2" t="s">
        <v>223</v>
      </c>
      <c r="D30" s="2" t="s">
        <v>116</v>
      </c>
      <c r="E30" s="2" t="s">
        <v>190</v>
      </c>
      <c r="F30" s="2" t="s">
        <v>118</v>
      </c>
      <c r="G30" s="2" t="s">
        <v>163</v>
      </c>
      <c r="H30" s="2" t="s">
        <v>29</v>
      </c>
      <c r="I30" s="3" t="n">
        <f aca="false">ROUND(AVERAGE(M30:P30),0)</f>
        <v>3</v>
      </c>
      <c r="J30" s="3" t="n">
        <v>20</v>
      </c>
      <c r="K30" s="2" t="s">
        <v>30</v>
      </c>
      <c r="L30" s="2" t="s">
        <v>224</v>
      </c>
      <c r="M30" s="4" t="n">
        <v>3</v>
      </c>
      <c r="N30" s="4" t="n">
        <v>3</v>
      </c>
      <c r="O30" s="4" t="n">
        <v>3</v>
      </c>
      <c r="P30" s="4" t="n">
        <v>2</v>
      </c>
      <c r="Q30" s="2"/>
      <c r="R30" s="2" t="s">
        <v>30</v>
      </c>
      <c r="S30" s="2" t="s">
        <v>225</v>
      </c>
      <c r="T30" s="2" t="s">
        <v>34</v>
      </c>
      <c r="U30" s="2" t="s">
        <v>193</v>
      </c>
      <c r="V30" s="2" t="s">
        <v>226</v>
      </c>
    </row>
    <row r="31" customFormat="false" ht="23.85" hidden="false" customHeight="false" outlineLevel="0" collapsed="false">
      <c r="A31" s="2" t="s">
        <v>227</v>
      </c>
      <c r="B31" s="2" t="s">
        <v>228</v>
      </c>
      <c r="C31" s="2" t="s">
        <v>229</v>
      </c>
      <c r="D31" s="2" t="s">
        <v>116</v>
      </c>
      <c r="E31" s="2" t="s">
        <v>190</v>
      </c>
      <c r="F31" s="2" t="s">
        <v>118</v>
      </c>
      <c r="G31" s="2" t="s">
        <v>230</v>
      </c>
      <c r="H31" s="2" t="s">
        <v>217</v>
      </c>
      <c r="I31" s="3" t="n">
        <f aca="false">ROUND(AVERAGE(M31:P31),0)</f>
        <v>3</v>
      </c>
      <c r="J31" s="3" t="n">
        <v>1</v>
      </c>
      <c r="K31" s="2" t="s">
        <v>41</v>
      </c>
      <c r="L31" s="2" t="s">
        <v>231</v>
      </c>
      <c r="M31" s="4" t="n">
        <v>2</v>
      </c>
      <c r="N31" s="4" t="n">
        <v>3</v>
      </c>
      <c r="O31" s="4" t="n">
        <v>4</v>
      </c>
      <c r="P31" s="4" t="n">
        <v>1</v>
      </c>
      <c r="Q31" s="2"/>
      <c r="R31" s="2" t="s">
        <v>30</v>
      </c>
      <c r="S31" s="2" t="s">
        <v>232</v>
      </c>
      <c r="T31" s="2" t="s">
        <v>34</v>
      </c>
      <c r="U31" s="2" t="s">
        <v>193</v>
      </c>
      <c r="V31" s="2" t="s">
        <v>233</v>
      </c>
    </row>
    <row r="32" customFormat="false" ht="23.85" hidden="false" customHeight="false" outlineLevel="0" collapsed="false">
      <c r="A32" s="2" t="s">
        <v>234</v>
      </c>
      <c r="B32" s="2" t="s">
        <v>235</v>
      </c>
      <c r="C32" s="2" t="s">
        <v>236</v>
      </c>
      <c r="D32" s="2" t="s">
        <v>116</v>
      </c>
      <c r="E32" s="2" t="s">
        <v>190</v>
      </c>
      <c r="F32" s="2" t="s">
        <v>118</v>
      </c>
      <c r="G32" s="2" t="s">
        <v>28</v>
      </c>
      <c r="H32" s="2" t="s">
        <v>29</v>
      </c>
      <c r="I32" s="3" t="n">
        <f aca="false">ROUND(AVERAGE(M32:P32),0)</f>
        <v>4</v>
      </c>
      <c r="J32" s="3" t="n">
        <v>10</v>
      </c>
      <c r="K32" s="2" t="s">
        <v>30</v>
      </c>
      <c r="L32" s="2" t="s">
        <v>237</v>
      </c>
      <c r="M32" s="4" t="n">
        <v>2</v>
      </c>
      <c r="N32" s="4" t="n">
        <v>3</v>
      </c>
      <c r="O32" s="4" t="n">
        <v>5</v>
      </c>
      <c r="P32" s="4" t="n">
        <v>5</v>
      </c>
      <c r="Q32" s="2" t="s">
        <v>60</v>
      </c>
      <c r="R32" s="2" t="s">
        <v>41</v>
      </c>
      <c r="S32" s="2" t="s">
        <v>238</v>
      </c>
      <c r="T32" s="2" t="s">
        <v>34</v>
      </c>
      <c r="U32" s="2" t="s">
        <v>193</v>
      </c>
      <c r="V32" s="2" t="s">
        <v>239</v>
      </c>
    </row>
    <row r="33" customFormat="false" ht="23.85" hidden="false" customHeight="false" outlineLevel="0" collapsed="false">
      <c r="A33" s="2" t="s">
        <v>240</v>
      </c>
      <c r="B33" s="2" t="s">
        <v>241</v>
      </c>
      <c r="C33" s="2" t="s">
        <v>242</v>
      </c>
      <c r="D33" s="2" t="s">
        <v>116</v>
      </c>
      <c r="E33" s="2" t="s">
        <v>190</v>
      </c>
      <c r="F33" s="2" t="s">
        <v>118</v>
      </c>
      <c r="G33" s="2" t="s">
        <v>28</v>
      </c>
      <c r="H33" s="2" t="s">
        <v>217</v>
      </c>
      <c r="I33" s="3" t="n">
        <f aca="false">ROUND(AVERAGE(M33:P33),0)</f>
        <v>3</v>
      </c>
      <c r="J33" s="3" t="n">
        <v>1</v>
      </c>
      <c r="K33" s="2" t="s">
        <v>41</v>
      </c>
      <c r="L33" s="2" t="s">
        <v>243</v>
      </c>
      <c r="M33" s="4" t="n">
        <v>4</v>
      </c>
      <c r="N33" s="4" t="n">
        <v>4</v>
      </c>
      <c r="O33" s="4" t="n">
        <v>3</v>
      </c>
      <c r="P33" s="4" t="n">
        <v>1</v>
      </c>
      <c r="Q33" s="2"/>
      <c r="R33" s="2" t="s">
        <v>30</v>
      </c>
      <c r="S33" s="2" t="s">
        <v>244</v>
      </c>
      <c r="T33" s="2" t="s">
        <v>34</v>
      </c>
      <c r="U33" s="2" t="s">
        <v>193</v>
      </c>
      <c r="V33" s="2" t="s">
        <v>245</v>
      </c>
    </row>
    <row r="34" customFormat="false" ht="23.85" hidden="false" customHeight="false" outlineLevel="0" collapsed="false">
      <c r="A34" s="2" t="s">
        <v>246</v>
      </c>
      <c r="B34" s="2" t="s">
        <v>247</v>
      </c>
      <c r="C34" s="2" t="s">
        <v>248</v>
      </c>
      <c r="D34" s="2" t="s">
        <v>116</v>
      </c>
      <c r="E34" s="2" t="s">
        <v>190</v>
      </c>
      <c r="F34" s="2" t="s">
        <v>118</v>
      </c>
      <c r="G34" s="2" t="s">
        <v>58</v>
      </c>
      <c r="H34" s="2" t="s">
        <v>29</v>
      </c>
      <c r="I34" s="3" t="n">
        <f aca="false">ROUND(AVERAGE(M34:P34),0)</f>
        <v>3</v>
      </c>
      <c r="J34" s="3" t="n">
        <v>25</v>
      </c>
      <c r="K34" s="2" t="s">
        <v>41</v>
      </c>
      <c r="L34" s="2"/>
      <c r="M34" s="4" t="n">
        <v>2</v>
      </c>
      <c r="N34" s="4" t="n">
        <v>2</v>
      </c>
      <c r="O34" s="4" t="n">
        <v>5</v>
      </c>
      <c r="P34" s="4" t="n">
        <v>3</v>
      </c>
      <c r="Q34" s="2"/>
      <c r="R34" s="2" t="s">
        <v>30</v>
      </c>
      <c r="S34" s="2" t="s">
        <v>249</v>
      </c>
      <c r="T34" s="2" t="s">
        <v>34</v>
      </c>
      <c r="U34" s="2" t="s">
        <v>104</v>
      </c>
      <c r="V34" s="2" t="s">
        <v>250</v>
      </c>
    </row>
    <row r="35" customFormat="false" ht="23.85" hidden="false" customHeight="false" outlineLevel="0" collapsed="false">
      <c r="A35" s="2" t="s">
        <v>251</v>
      </c>
      <c r="B35" s="2" t="s">
        <v>252</v>
      </c>
      <c r="C35" s="2" t="s">
        <v>253</v>
      </c>
      <c r="D35" s="2" t="s">
        <v>116</v>
      </c>
      <c r="E35" s="2" t="s">
        <v>190</v>
      </c>
      <c r="F35" s="2" t="s">
        <v>118</v>
      </c>
      <c r="G35" s="2" t="s">
        <v>125</v>
      </c>
      <c r="H35" s="2" t="s">
        <v>29</v>
      </c>
      <c r="I35" s="3" t="n">
        <f aca="false">ROUND(AVERAGE(M35:P35),0)</f>
        <v>3</v>
      </c>
      <c r="J35" s="3" t="n">
        <v>15</v>
      </c>
      <c r="K35" s="2" t="s">
        <v>30</v>
      </c>
      <c r="L35" s="2" t="s">
        <v>254</v>
      </c>
      <c r="M35" s="4" t="n">
        <v>2</v>
      </c>
      <c r="N35" s="4" t="n">
        <v>2</v>
      </c>
      <c r="O35" s="4" t="n">
        <v>5</v>
      </c>
      <c r="P35" s="4" t="n">
        <v>2</v>
      </c>
      <c r="Q35" s="2"/>
      <c r="R35" s="2" t="s">
        <v>30</v>
      </c>
      <c r="S35" s="2" t="s">
        <v>255</v>
      </c>
      <c r="T35" s="2" t="s">
        <v>34</v>
      </c>
      <c r="U35" s="2" t="s">
        <v>104</v>
      </c>
      <c r="V35" s="2" t="s">
        <v>256</v>
      </c>
    </row>
    <row r="36" customFormat="false" ht="23.85" hidden="false" customHeight="false" outlineLevel="0" collapsed="false">
      <c r="A36" s="2" t="s">
        <v>257</v>
      </c>
      <c r="B36" s="2" t="s">
        <v>258</v>
      </c>
      <c r="C36" s="2" t="s">
        <v>259</v>
      </c>
      <c r="D36" s="2" t="s">
        <v>116</v>
      </c>
      <c r="E36" s="2" t="s">
        <v>190</v>
      </c>
      <c r="F36" s="2" t="s">
        <v>118</v>
      </c>
      <c r="G36" s="2" t="s">
        <v>28</v>
      </c>
      <c r="H36" s="2" t="s">
        <v>217</v>
      </c>
      <c r="I36" s="3" t="n">
        <f aca="false">ROUND(AVERAGE(M36:P36),0)</f>
        <v>4</v>
      </c>
      <c r="J36" s="3" t="n">
        <v>5</v>
      </c>
      <c r="K36" s="2" t="s">
        <v>30</v>
      </c>
      <c r="L36" s="2" t="s">
        <v>260</v>
      </c>
      <c r="M36" s="4" t="n">
        <v>2</v>
      </c>
      <c r="N36" s="4" t="n">
        <v>4</v>
      </c>
      <c r="O36" s="4" t="n">
        <v>5</v>
      </c>
      <c r="P36" s="4" t="n">
        <v>4</v>
      </c>
      <c r="Q36" s="2" t="s">
        <v>60</v>
      </c>
      <c r="R36" s="2" t="s">
        <v>30</v>
      </c>
      <c r="S36" s="2" t="s">
        <v>261</v>
      </c>
      <c r="T36" s="2" t="s">
        <v>52</v>
      </c>
      <c r="U36" s="2" t="s">
        <v>53</v>
      </c>
      <c r="V36" s="2" t="s">
        <v>262</v>
      </c>
    </row>
    <row r="37" customFormat="false" ht="23.85" hidden="false" customHeight="false" outlineLevel="0" collapsed="false">
      <c r="A37" s="2" t="s">
        <v>263</v>
      </c>
      <c r="B37" s="2" t="s">
        <v>264</v>
      </c>
      <c r="C37" s="2" t="s">
        <v>265</v>
      </c>
      <c r="D37" s="2" t="s">
        <v>116</v>
      </c>
      <c r="E37" s="2" t="s">
        <v>190</v>
      </c>
      <c r="F37" s="2" t="s">
        <v>118</v>
      </c>
      <c r="G37" s="2" t="s">
        <v>28</v>
      </c>
      <c r="H37" s="2" t="s">
        <v>29</v>
      </c>
      <c r="I37" s="3" t="n">
        <f aca="false">ROUND(AVERAGE(M37:P37),0)</f>
        <v>4</v>
      </c>
      <c r="J37" s="3" t="n">
        <v>2</v>
      </c>
      <c r="K37" s="2" t="s">
        <v>30</v>
      </c>
      <c r="L37" s="2" t="s">
        <v>266</v>
      </c>
      <c r="M37" s="4" t="n">
        <v>2</v>
      </c>
      <c r="N37" s="4" t="n">
        <v>3</v>
      </c>
      <c r="O37" s="4" t="n">
        <v>4</v>
      </c>
      <c r="P37" s="4" t="n">
        <v>5</v>
      </c>
      <c r="Q37" s="2" t="s">
        <v>60</v>
      </c>
      <c r="R37" s="2" t="s">
        <v>30</v>
      </c>
      <c r="S37" s="2" t="s">
        <v>267</v>
      </c>
      <c r="T37" s="2" t="s">
        <v>52</v>
      </c>
      <c r="U37" s="2" t="s">
        <v>140</v>
      </c>
      <c r="V37" s="2" t="s">
        <v>268</v>
      </c>
    </row>
    <row r="38" customFormat="false" ht="23.85" hidden="false" customHeight="false" outlineLevel="0" collapsed="false">
      <c r="A38" s="2" t="s">
        <v>269</v>
      </c>
      <c r="B38" s="2" t="s">
        <v>270</v>
      </c>
      <c r="C38" s="2" t="s">
        <v>271</v>
      </c>
      <c r="D38" s="2" t="s">
        <v>116</v>
      </c>
      <c r="E38" s="2" t="s">
        <v>190</v>
      </c>
      <c r="F38" s="2" t="s">
        <v>118</v>
      </c>
      <c r="G38" s="2" t="s">
        <v>28</v>
      </c>
      <c r="H38" s="2" t="s">
        <v>29</v>
      </c>
      <c r="I38" s="3" t="n">
        <f aca="false">ROUND(AVERAGE(M38:P38),0)</f>
        <v>3</v>
      </c>
      <c r="J38" s="3" t="n">
        <v>30</v>
      </c>
      <c r="K38" s="2" t="s">
        <v>41</v>
      </c>
      <c r="L38" s="2"/>
      <c r="M38" s="4" t="n">
        <v>2</v>
      </c>
      <c r="N38" s="4" t="n">
        <v>3</v>
      </c>
      <c r="O38" s="4" t="n">
        <v>5</v>
      </c>
      <c r="P38" s="4" t="n">
        <v>2</v>
      </c>
      <c r="Q38" s="2"/>
      <c r="R38" s="2" t="s">
        <v>30</v>
      </c>
      <c r="S38" s="2" t="s">
        <v>272</v>
      </c>
      <c r="T38" s="2" t="s">
        <v>273</v>
      </c>
      <c r="U38" s="2" t="s">
        <v>274</v>
      </c>
      <c r="V38" s="2" t="s">
        <v>275</v>
      </c>
    </row>
    <row r="39" customFormat="false" ht="23.85" hidden="false" customHeight="false" outlineLevel="0" collapsed="false">
      <c r="A39" s="2" t="s">
        <v>276</v>
      </c>
      <c r="B39" s="2" t="s">
        <v>277</v>
      </c>
      <c r="C39" s="2" t="s">
        <v>278</v>
      </c>
      <c r="D39" s="2" t="s">
        <v>116</v>
      </c>
      <c r="E39" s="2" t="s">
        <v>190</v>
      </c>
      <c r="F39" s="2" t="s">
        <v>118</v>
      </c>
      <c r="G39" s="2" t="s">
        <v>58</v>
      </c>
      <c r="H39" s="2" t="s">
        <v>59</v>
      </c>
      <c r="I39" s="3" t="n">
        <f aca="false">ROUND(AVERAGE(M39:P39),0)</f>
        <v>3</v>
      </c>
      <c r="J39" s="3" t="n">
        <v>2</v>
      </c>
      <c r="K39" s="2" t="s">
        <v>41</v>
      </c>
      <c r="L39" s="2" t="s">
        <v>279</v>
      </c>
      <c r="M39" s="4" t="n">
        <v>3</v>
      </c>
      <c r="N39" s="4" t="n">
        <v>5</v>
      </c>
      <c r="O39" s="4" t="n">
        <v>2</v>
      </c>
      <c r="P39" s="4" t="n">
        <v>3</v>
      </c>
      <c r="Q39" s="2" t="s">
        <v>43</v>
      </c>
      <c r="R39" s="2" t="s">
        <v>30</v>
      </c>
      <c r="S39" s="2" t="s">
        <v>280</v>
      </c>
      <c r="T39" s="2" t="s">
        <v>273</v>
      </c>
      <c r="U39" s="2" t="s">
        <v>281</v>
      </c>
      <c r="V39" s="2" t="s">
        <v>282</v>
      </c>
    </row>
    <row r="40" customFormat="false" ht="23.85" hidden="false" customHeight="false" outlineLevel="0" collapsed="false">
      <c r="A40" s="2" t="s">
        <v>283</v>
      </c>
      <c r="B40" s="2" t="s">
        <v>284</v>
      </c>
      <c r="C40" s="2" t="s">
        <v>285</v>
      </c>
      <c r="D40" s="2" t="s">
        <v>286</v>
      </c>
      <c r="E40" s="2"/>
      <c r="F40" s="2" t="s">
        <v>118</v>
      </c>
      <c r="G40" s="2" t="s">
        <v>28</v>
      </c>
      <c r="H40" s="2" t="s">
        <v>217</v>
      </c>
      <c r="I40" s="3" t="n">
        <f aca="false">ROUND(AVERAGE(M40:P40),0)</f>
        <v>3</v>
      </c>
      <c r="J40" s="3" t="n">
        <v>1</v>
      </c>
      <c r="K40" s="2" t="s">
        <v>30</v>
      </c>
      <c r="L40" s="2" t="s">
        <v>287</v>
      </c>
      <c r="M40" s="4" t="n">
        <v>5</v>
      </c>
      <c r="N40" s="4" t="n">
        <v>3</v>
      </c>
      <c r="O40" s="4" t="n">
        <v>2</v>
      </c>
      <c r="P40" s="4" t="n">
        <v>1</v>
      </c>
      <c r="Q40" s="2"/>
      <c r="R40" s="2" t="s">
        <v>30</v>
      </c>
      <c r="S40" s="2" t="s">
        <v>288</v>
      </c>
      <c r="T40" s="2" t="s">
        <v>34</v>
      </c>
      <c r="U40" s="2" t="s">
        <v>35</v>
      </c>
      <c r="V40" s="2" t="s">
        <v>289</v>
      </c>
    </row>
    <row r="41" customFormat="false" ht="23.85" hidden="false" customHeight="false" outlineLevel="0" collapsed="false">
      <c r="A41" s="2" t="s">
        <v>290</v>
      </c>
      <c r="B41" s="2" t="s">
        <v>291</v>
      </c>
      <c r="C41" s="2" t="s">
        <v>292</v>
      </c>
      <c r="D41" s="2" t="s">
        <v>286</v>
      </c>
      <c r="E41" s="2"/>
      <c r="F41" s="2" t="s">
        <v>118</v>
      </c>
      <c r="G41" s="2" t="s">
        <v>163</v>
      </c>
      <c r="H41" s="2" t="s">
        <v>217</v>
      </c>
      <c r="I41" s="3" t="n">
        <f aca="false">ROUND(AVERAGE(M41:P41),0)</f>
        <v>3</v>
      </c>
      <c r="J41" s="3" t="n">
        <v>1</v>
      </c>
      <c r="K41" s="2" t="s">
        <v>30</v>
      </c>
      <c r="L41" s="2"/>
      <c r="M41" s="4" t="n">
        <v>5</v>
      </c>
      <c r="N41" s="4" t="n">
        <v>2</v>
      </c>
      <c r="O41" s="4" t="n">
        <v>3</v>
      </c>
      <c r="P41" s="4" t="n">
        <v>1</v>
      </c>
      <c r="Q41" s="2"/>
      <c r="R41" s="2" t="s">
        <v>30</v>
      </c>
      <c r="S41" s="2" t="s">
        <v>293</v>
      </c>
      <c r="T41" s="2" t="s">
        <v>52</v>
      </c>
      <c r="U41" s="2" t="s">
        <v>294</v>
      </c>
      <c r="V41" s="2" t="s">
        <v>295</v>
      </c>
    </row>
    <row r="42" customFormat="false" ht="23.85" hidden="false" customHeight="false" outlineLevel="0" collapsed="false">
      <c r="A42" s="2" t="s">
        <v>296</v>
      </c>
      <c r="B42" s="2" t="s">
        <v>297</v>
      </c>
      <c r="C42" s="2" t="s">
        <v>298</v>
      </c>
      <c r="D42" s="2" t="s">
        <v>286</v>
      </c>
      <c r="E42" s="2"/>
      <c r="F42" s="2" t="s">
        <v>118</v>
      </c>
      <c r="G42" s="2" t="s">
        <v>230</v>
      </c>
      <c r="H42" s="2" t="s">
        <v>217</v>
      </c>
      <c r="I42" s="3" t="n">
        <f aca="false">ROUND(AVERAGE(M42:P42),0)</f>
        <v>3</v>
      </c>
      <c r="J42" s="3" t="n">
        <v>1</v>
      </c>
      <c r="K42" s="2" t="s">
        <v>41</v>
      </c>
      <c r="L42" s="2"/>
      <c r="M42" s="4" t="n">
        <v>2</v>
      </c>
      <c r="N42" s="4" t="n">
        <v>3</v>
      </c>
      <c r="O42" s="4" t="n">
        <v>5</v>
      </c>
      <c r="P42" s="4" t="n">
        <v>3</v>
      </c>
      <c r="Q42" s="2"/>
      <c r="R42" s="2" t="s">
        <v>30</v>
      </c>
      <c r="S42" s="2" t="s">
        <v>299</v>
      </c>
      <c r="T42" s="2" t="s">
        <v>273</v>
      </c>
      <c r="U42" s="2" t="s">
        <v>300</v>
      </c>
      <c r="V42" s="2" t="s">
        <v>301</v>
      </c>
    </row>
    <row r="43" customFormat="false" ht="23.85" hidden="false" customHeight="false" outlineLevel="0" collapsed="false">
      <c r="A43" s="2" t="s">
        <v>302</v>
      </c>
      <c r="B43" s="2" t="s">
        <v>303</v>
      </c>
      <c r="C43" s="2" t="s">
        <v>304</v>
      </c>
      <c r="D43" s="2" t="s">
        <v>286</v>
      </c>
      <c r="E43" s="2"/>
      <c r="F43" s="2" t="s">
        <v>118</v>
      </c>
      <c r="G43" s="2" t="s">
        <v>230</v>
      </c>
      <c r="H43" s="2" t="s">
        <v>217</v>
      </c>
      <c r="I43" s="3" t="n">
        <f aca="false">ROUND(AVERAGE(M43:P43),0)</f>
        <v>3</v>
      </c>
      <c r="J43" s="3" t="n">
        <v>60</v>
      </c>
      <c r="K43" s="2" t="s">
        <v>41</v>
      </c>
      <c r="L43" s="2" t="s">
        <v>305</v>
      </c>
      <c r="M43" s="4" t="n">
        <v>2</v>
      </c>
      <c r="N43" s="4" t="n">
        <v>2</v>
      </c>
      <c r="O43" s="4" t="n">
        <v>5</v>
      </c>
      <c r="P43" s="4" t="n">
        <v>2</v>
      </c>
      <c r="Q43" s="2"/>
      <c r="R43" s="2" t="s">
        <v>30</v>
      </c>
      <c r="S43" s="2" t="s">
        <v>306</v>
      </c>
      <c r="T43" s="2" t="s">
        <v>34</v>
      </c>
      <c r="U43" s="2" t="s">
        <v>104</v>
      </c>
      <c r="V43" s="2" t="s">
        <v>307</v>
      </c>
    </row>
    <row r="44" customFormat="false" ht="23.85" hidden="false" customHeight="false" outlineLevel="0" collapsed="false">
      <c r="A44" s="2" t="s">
        <v>308</v>
      </c>
      <c r="B44" s="2" t="s">
        <v>309</v>
      </c>
      <c r="C44" s="2" t="s">
        <v>310</v>
      </c>
      <c r="D44" s="2" t="s">
        <v>286</v>
      </c>
      <c r="E44" s="2"/>
      <c r="F44" s="2" t="s">
        <v>118</v>
      </c>
      <c r="G44" s="2" t="s">
        <v>28</v>
      </c>
      <c r="H44" s="2" t="s">
        <v>29</v>
      </c>
      <c r="I44" s="3" t="n">
        <f aca="false">ROUND(AVERAGE(M44:P44),0)</f>
        <v>4</v>
      </c>
      <c r="J44" s="3" t="n">
        <v>15</v>
      </c>
      <c r="K44" s="2" t="s">
        <v>41</v>
      </c>
      <c r="L44" s="2"/>
      <c r="M44" s="4" t="n">
        <v>3</v>
      </c>
      <c r="N44" s="4" t="n">
        <v>3</v>
      </c>
      <c r="O44" s="4" t="n">
        <v>5</v>
      </c>
      <c r="P44" s="4" t="n">
        <v>3</v>
      </c>
      <c r="Q44" s="2"/>
      <c r="R44" s="2" t="s">
        <v>30</v>
      </c>
      <c r="S44" s="2" t="s">
        <v>311</v>
      </c>
      <c r="T44" s="2" t="s">
        <v>52</v>
      </c>
      <c r="U44" s="2" t="s">
        <v>294</v>
      </c>
      <c r="V44" s="2" t="s">
        <v>312</v>
      </c>
    </row>
    <row r="45" customFormat="false" ht="23.85" hidden="false" customHeight="false" outlineLevel="0" collapsed="false">
      <c r="A45" s="2" t="s">
        <v>313</v>
      </c>
      <c r="B45" s="2" t="s">
        <v>314</v>
      </c>
      <c r="C45" s="2" t="s">
        <v>315</v>
      </c>
      <c r="D45" s="2" t="s">
        <v>286</v>
      </c>
      <c r="E45" s="2"/>
      <c r="F45" s="2" t="s">
        <v>118</v>
      </c>
      <c r="G45" s="2" t="s">
        <v>316</v>
      </c>
      <c r="H45" s="2" t="s">
        <v>29</v>
      </c>
      <c r="I45" s="3" t="n">
        <f aca="false">ROUND(AVERAGE(M45:P45),0)</f>
        <v>4</v>
      </c>
      <c r="J45" s="3" t="n">
        <v>10</v>
      </c>
      <c r="K45" s="2" t="s">
        <v>41</v>
      </c>
      <c r="L45" s="2"/>
      <c r="M45" s="4" t="n">
        <v>3</v>
      </c>
      <c r="N45" s="4" t="n">
        <v>3</v>
      </c>
      <c r="O45" s="4" t="n">
        <v>5</v>
      </c>
      <c r="P45" s="4" t="n">
        <v>3</v>
      </c>
      <c r="Q45" s="2"/>
      <c r="R45" s="2" t="s">
        <v>41</v>
      </c>
      <c r="S45" s="2" t="s">
        <v>317</v>
      </c>
      <c r="T45" s="2" t="s">
        <v>273</v>
      </c>
      <c r="U45" s="2" t="s">
        <v>318</v>
      </c>
      <c r="V45" s="2" t="s">
        <v>319</v>
      </c>
    </row>
    <row r="46" customFormat="false" ht="23.85" hidden="false" customHeight="false" outlineLevel="0" collapsed="false">
      <c r="A46" s="2" t="s">
        <v>320</v>
      </c>
      <c r="B46" s="2" t="s">
        <v>321</v>
      </c>
      <c r="C46" s="2" t="s">
        <v>322</v>
      </c>
      <c r="D46" s="2" t="s">
        <v>286</v>
      </c>
      <c r="E46" s="2"/>
      <c r="F46" s="2" t="s">
        <v>118</v>
      </c>
      <c r="G46" s="2" t="s">
        <v>125</v>
      </c>
      <c r="H46" s="2" t="s">
        <v>29</v>
      </c>
      <c r="I46" s="3" t="n">
        <f aca="false">ROUND(AVERAGE(M46:P46),0)</f>
        <v>3</v>
      </c>
      <c r="J46" s="3" t="n">
        <v>2</v>
      </c>
      <c r="K46" s="2" t="s">
        <v>30</v>
      </c>
      <c r="L46" s="2" t="s">
        <v>323</v>
      </c>
      <c r="M46" s="4" t="n">
        <v>4</v>
      </c>
      <c r="N46" s="4" t="n">
        <v>4</v>
      </c>
      <c r="O46" s="4" t="n">
        <v>3</v>
      </c>
      <c r="P46" s="4" t="n">
        <v>2</v>
      </c>
      <c r="Q46" s="2"/>
      <c r="R46" s="2" t="s">
        <v>30</v>
      </c>
      <c r="S46" s="2" t="s">
        <v>324</v>
      </c>
      <c r="T46" s="2" t="s">
        <v>273</v>
      </c>
      <c r="U46" s="2" t="s">
        <v>325</v>
      </c>
      <c r="V46" s="2" t="s">
        <v>326</v>
      </c>
    </row>
    <row r="47" customFormat="false" ht="23.85" hidden="false" customHeight="false" outlineLevel="0" collapsed="false">
      <c r="A47" s="2" t="s">
        <v>327</v>
      </c>
      <c r="B47" s="2" t="s">
        <v>328</v>
      </c>
      <c r="C47" s="2" t="s">
        <v>329</v>
      </c>
      <c r="D47" s="2" t="s">
        <v>286</v>
      </c>
      <c r="E47" s="2"/>
      <c r="F47" s="2" t="s">
        <v>118</v>
      </c>
      <c r="G47" s="2" t="s">
        <v>58</v>
      </c>
      <c r="H47" s="2" t="s">
        <v>29</v>
      </c>
      <c r="I47" s="3" t="n">
        <f aca="false">ROUND(AVERAGE(M47:P47),0)</f>
        <v>3</v>
      </c>
      <c r="J47" s="3" t="n">
        <v>2</v>
      </c>
      <c r="K47" s="2" t="s">
        <v>41</v>
      </c>
      <c r="L47" s="2" t="s">
        <v>330</v>
      </c>
      <c r="M47" s="4" t="n">
        <v>2</v>
      </c>
      <c r="N47" s="4" t="n">
        <v>5</v>
      </c>
      <c r="O47" s="4" t="n">
        <v>3</v>
      </c>
      <c r="P47" s="4" t="n">
        <v>2</v>
      </c>
      <c r="Q47" s="2"/>
      <c r="R47" s="2" t="s">
        <v>30</v>
      </c>
      <c r="S47" s="2" t="s">
        <v>331</v>
      </c>
      <c r="T47" s="2" t="s">
        <v>34</v>
      </c>
      <c r="U47" s="2" t="s">
        <v>45</v>
      </c>
      <c r="V47" s="2" t="s">
        <v>332</v>
      </c>
    </row>
    <row r="48" customFormat="false" ht="23.85" hidden="false" customHeight="false" outlineLevel="0" collapsed="false">
      <c r="A48" s="2" t="s">
        <v>333</v>
      </c>
      <c r="B48" s="2" t="s">
        <v>334</v>
      </c>
      <c r="C48" s="2" t="s">
        <v>335</v>
      </c>
      <c r="D48" s="2" t="s">
        <v>286</v>
      </c>
      <c r="E48" s="2"/>
      <c r="F48" s="2" t="s">
        <v>118</v>
      </c>
      <c r="G48" s="2" t="s">
        <v>28</v>
      </c>
      <c r="H48" s="2" t="s">
        <v>217</v>
      </c>
      <c r="I48" s="3" t="n">
        <f aca="false">ROUND(AVERAGE(M48:P48),0)</f>
        <v>3</v>
      </c>
      <c r="J48" s="3" t="n">
        <v>1</v>
      </c>
      <c r="K48" s="2" t="s">
        <v>41</v>
      </c>
      <c r="L48" s="2"/>
      <c r="M48" s="4" t="n">
        <v>3</v>
      </c>
      <c r="N48" s="4" t="n">
        <v>5</v>
      </c>
      <c r="O48" s="4" t="n">
        <v>3</v>
      </c>
      <c r="P48" s="4" t="n">
        <v>2</v>
      </c>
      <c r="Q48" s="2"/>
      <c r="R48" s="2" t="s">
        <v>30</v>
      </c>
      <c r="S48" s="2" t="s">
        <v>336</v>
      </c>
      <c r="T48" s="2" t="s">
        <v>34</v>
      </c>
      <c r="U48" s="2" t="s">
        <v>45</v>
      </c>
      <c r="V48" s="2" t="s">
        <v>337</v>
      </c>
    </row>
    <row r="49" customFormat="false" ht="23.85" hidden="false" customHeight="false" outlineLevel="0" collapsed="false">
      <c r="A49" s="2" t="s">
        <v>338</v>
      </c>
      <c r="B49" s="2" t="s">
        <v>339</v>
      </c>
      <c r="C49" s="2" t="s">
        <v>340</v>
      </c>
      <c r="D49" s="2" t="s">
        <v>286</v>
      </c>
      <c r="E49" s="2"/>
      <c r="F49" s="2" t="s">
        <v>118</v>
      </c>
      <c r="G49" s="2" t="s">
        <v>125</v>
      </c>
      <c r="H49" s="2" t="s">
        <v>29</v>
      </c>
      <c r="I49" s="3" t="n">
        <f aca="false">ROUND(AVERAGE(M49:P49),0)</f>
        <v>3</v>
      </c>
      <c r="J49" s="3" t="n">
        <v>5</v>
      </c>
      <c r="K49" s="2" t="s">
        <v>30</v>
      </c>
      <c r="L49" s="2" t="s">
        <v>341</v>
      </c>
      <c r="M49" s="4" t="n">
        <v>3</v>
      </c>
      <c r="N49" s="4" t="n">
        <v>5</v>
      </c>
      <c r="O49" s="4" t="n">
        <v>2</v>
      </c>
      <c r="P49" s="4" t="n">
        <v>2</v>
      </c>
      <c r="Q49" s="2"/>
      <c r="R49" s="2" t="s">
        <v>41</v>
      </c>
      <c r="S49" s="2" t="s">
        <v>342</v>
      </c>
      <c r="T49" s="2" t="s">
        <v>34</v>
      </c>
      <c r="U49" s="2" t="s">
        <v>45</v>
      </c>
      <c r="V49" s="2" t="s">
        <v>343</v>
      </c>
    </row>
    <row r="50" customFormat="false" ht="23.85" hidden="false" customHeight="false" outlineLevel="0" collapsed="false">
      <c r="A50" s="2" t="s">
        <v>344</v>
      </c>
      <c r="B50" s="2" t="s">
        <v>345</v>
      </c>
      <c r="C50" s="2" t="s">
        <v>346</v>
      </c>
      <c r="D50" s="2" t="s">
        <v>286</v>
      </c>
      <c r="E50" s="2"/>
      <c r="F50" s="2" t="s">
        <v>118</v>
      </c>
      <c r="G50" s="2" t="s">
        <v>28</v>
      </c>
      <c r="H50" s="2" t="s">
        <v>29</v>
      </c>
      <c r="I50" s="3" t="n">
        <f aca="false">ROUND(AVERAGE(M50:P50),0)</f>
        <v>3</v>
      </c>
      <c r="J50" s="3" t="n">
        <v>3</v>
      </c>
      <c r="K50" s="2" t="s">
        <v>30</v>
      </c>
      <c r="L50" s="2"/>
      <c r="M50" s="4" t="n">
        <v>4</v>
      </c>
      <c r="N50" s="4" t="n">
        <v>3</v>
      </c>
      <c r="O50" s="4" t="n">
        <v>1</v>
      </c>
      <c r="P50" s="4" t="n">
        <v>2</v>
      </c>
      <c r="Q50" s="2"/>
      <c r="R50" s="2" t="s">
        <v>30</v>
      </c>
      <c r="S50" s="2" t="s">
        <v>347</v>
      </c>
      <c r="T50" s="2" t="s">
        <v>273</v>
      </c>
      <c r="U50" s="2" t="s">
        <v>325</v>
      </c>
      <c r="V50" s="2" t="s">
        <v>348</v>
      </c>
    </row>
    <row r="51" customFormat="false" ht="23.85" hidden="false" customHeight="false" outlineLevel="0" collapsed="false">
      <c r="A51" s="2" t="s">
        <v>349</v>
      </c>
      <c r="B51" s="2" t="s">
        <v>350</v>
      </c>
      <c r="C51" s="2" t="s">
        <v>351</v>
      </c>
      <c r="D51" s="2" t="s">
        <v>286</v>
      </c>
      <c r="E51" s="2"/>
      <c r="F51" s="2" t="s">
        <v>118</v>
      </c>
      <c r="G51" s="2" t="s">
        <v>316</v>
      </c>
      <c r="H51" s="2" t="s">
        <v>29</v>
      </c>
      <c r="I51" s="3" t="n">
        <f aca="false">ROUND(AVERAGE(M51:P51),0)</f>
        <v>3</v>
      </c>
      <c r="J51" s="3" t="n">
        <v>20</v>
      </c>
      <c r="K51" s="2" t="s">
        <v>41</v>
      </c>
      <c r="L51" s="2"/>
      <c r="M51" s="4" t="n">
        <v>1</v>
      </c>
      <c r="N51" s="4" t="n">
        <v>2</v>
      </c>
      <c r="O51" s="4" t="n">
        <v>2</v>
      </c>
      <c r="P51" s="4" t="n">
        <v>5</v>
      </c>
      <c r="Q51" s="2" t="s">
        <v>60</v>
      </c>
      <c r="R51" s="2" t="s">
        <v>30</v>
      </c>
      <c r="S51" s="2" t="s">
        <v>352</v>
      </c>
      <c r="T51" s="2" t="s">
        <v>34</v>
      </c>
      <c r="U51" s="2" t="s">
        <v>133</v>
      </c>
      <c r="V51" s="2" t="s">
        <v>353</v>
      </c>
    </row>
    <row r="52" customFormat="false" ht="23.85" hidden="false" customHeight="false" outlineLevel="0" collapsed="false">
      <c r="A52" s="2" t="s">
        <v>354</v>
      </c>
      <c r="B52" s="2" t="s">
        <v>355</v>
      </c>
      <c r="C52" s="2" t="s">
        <v>356</v>
      </c>
      <c r="D52" s="2" t="s">
        <v>286</v>
      </c>
      <c r="E52" s="2"/>
      <c r="F52" s="2" t="s">
        <v>118</v>
      </c>
      <c r="G52" s="2" t="s">
        <v>28</v>
      </c>
      <c r="H52" s="2" t="s">
        <v>59</v>
      </c>
      <c r="I52" s="3" t="n">
        <f aca="false">ROUND(AVERAGE(M52:P52),0)</f>
        <v>3</v>
      </c>
      <c r="J52" s="3" t="n">
        <v>5</v>
      </c>
      <c r="K52" s="2" t="s">
        <v>41</v>
      </c>
      <c r="L52" s="2" t="s">
        <v>357</v>
      </c>
      <c r="M52" s="4" t="n">
        <v>5</v>
      </c>
      <c r="N52" s="4" t="n">
        <v>1</v>
      </c>
      <c r="O52" s="4" t="n">
        <v>3</v>
      </c>
      <c r="P52" s="4" t="n">
        <v>1</v>
      </c>
      <c r="Q52" s="2"/>
      <c r="R52" s="2" t="s">
        <v>30</v>
      </c>
      <c r="S52" s="2" t="s">
        <v>358</v>
      </c>
      <c r="T52" s="2" t="s">
        <v>34</v>
      </c>
      <c r="U52" s="2" t="s">
        <v>35</v>
      </c>
      <c r="V52" s="2" t="s">
        <v>359</v>
      </c>
    </row>
    <row r="53" customFormat="false" ht="23.85" hidden="false" customHeight="false" outlineLevel="0" collapsed="false">
      <c r="A53" s="2" t="s">
        <v>360</v>
      </c>
      <c r="B53" s="2" t="s">
        <v>361</v>
      </c>
      <c r="C53" s="2" t="s">
        <v>362</v>
      </c>
      <c r="D53" s="2" t="s">
        <v>286</v>
      </c>
      <c r="E53" s="2"/>
      <c r="F53" s="2" t="s">
        <v>118</v>
      </c>
      <c r="G53" s="2" t="s">
        <v>28</v>
      </c>
      <c r="H53" s="2" t="s">
        <v>217</v>
      </c>
      <c r="I53" s="3" t="n">
        <f aca="false">ROUND(AVERAGE(M53:P53),0)</f>
        <v>3</v>
      </c>
      <c r="J53" s="3" t="n">
        <v>1</v>
      </c>
      <c r="K53" s="2" t="s">
        <v>30</v>
      </c>
      <c r="L53" s="2"/>
      <c r="M53" s="4" t="n">
        <v>5</v>
      </c>
      <c r="N53" s="4" t="n">
        <v>3</v>
      </c>
      <c r="O53" s="4" t="n">
        <v>4</v>
      </c>
      <c r="P53" s="4" t="n">
        <v>1</v>
      </c>
      <c r="Q53" s="2"/>
      <c r="R53" s="2" t="s">
        <v>30</v>
      </c>
      <c r="S53" s="2" t="s">
        <v>363</v>
      </c>
      <c r="T53" s="2" t="s">
        <v>34</v>
      </c>
      <c r="U53" s="2" t="s">
        <v>35</v>
      </c>
      <c r="V53" s="2" t="s">
        <v>364</v>
      </c>
    </row>
    <row r="54" customFormat="false" ht="23.85" hidden="false" customHeight="false" outlineLevel="0" collapsed="false">
      <c r="A54" s="2" t="s">
        <v>365</v>
      </c>
      <c r="B54" s="2" t="s">
        <v>366</v>
      </c>
      <c r="C54" s="2" t="s">
        <v>367</v>
      </c>
      <c r="D54" s="2" t="s">
        <v>286</v>
      </c>
      <c r="E54" s="2"/>
      <c r="F54" s="2" t="s">
        <v>118</v>
      </c>
      <c r="G54" s="2" t="s">
        <v>163</v>
      </c>
      <c r="H54" s="2" t="s">
        <v>29</v>
      </c>
      <c r="I54" s="3" t="n">
        <f aca="false">ROUND(AVERAGE(M54:P54),0)</f>
        <v>3</v>
      </c>
      <c r="J54" s="3" t="n">
        <v>5</v>
      </c>
      <c r="K54" s="2" t="s">
        <v>30</v>
      </c>
      <c r="L54" s="2" t="s">
        <v>368</v>
      </c>
      <c r="M54" s="4" t="n">
        <v>5</v>
      </c>
      <c r="N54" s="4" t="n">
        <v>4</v>
      </c>
      <c r="O54" s="4" t="n">
        <v>3</v>
      </c>
      <c r="P54" s="4" t="n">
        <v>1</v>
      </c>
      <c r="Q54" s="2"/>
      <c r="R54" s="2" t="s">
        <v>30</v>
      </c>
      <c r="S54" s="2" t="s">
        <v>369</v>
      </c>
      <c r="T54" s="2" t="s">
        <v>52</v>
      </c>
      <c r="U54" s="2" t="s">
        <v>294</v>
      </c>
      <c r="V54" s="2" t="s">
        <v>370</v>
      </c>
    </row>
    <row r="55" customFormat="false" ht="35.05" hidden="false" customHeight="false" outlineLevel="0" collapsed="false">
      <c r="A55" s="2" t="s">
        <v>371</v>
      </c>
      <c r="B55" s="2" t="s">
        <v>372</v>
      </c>
      <c r="C55" s="2" t="s">
        <v>373</v>
      </c>
      <c r="D55" s="2" t="s">
        <v>374</v>
      </c>
      <c r="E55" s="2"/>
      <c r="F55" s="2" t="s">
        <v>118</v>
      </c>
      <c r="G55" s="2" t="s">
        <v>28</v>
      </c>
      <c r="H55" s="2" t="s">
        <v>29</v>
      </c>
      <c r="I55" s="3" t="n">
        <f aca="false">ROUND(AVERAGE(M55:P55),0)</f>
        <v>3</v>
      </c>
      <c r="J55" s="3" t="n">
        <v>60</v>
      </c>
      <c r="K55" s="2" t="s">
        <v>41</v>
      </c>
      <c r="L55" s="2"/>
      <c r="M55" s="4" t="n">
        <v>2</v>
      </c>
      <c r="N55" s="4" t="n">
        <v>3</v>
      </c>
      <c r="O55" s="4" t="n">
        <v>4</v>
      </c>
      <c r="P55" s="4" t="n">
        <v>2</v>
      </c>
      <c r="Q55" s="2"/>
      <c r="R55" s="2" t="s">
        <v>30</v>
      </c>
      <c r="S55" s="2" t="s">
        <v>375</v>
      </c>
      <c r="T55" s="2" t="s">
        <v>52</v>
      </c>
      <c r="U55" s="2" t="s">
        <v>376</v>
      </c>
      <c r="V55" s="2" t="s">
        <v>377</v>
      </c>
    </row>
    <row r="56" customFormat="false" ht="23.85" hidden="false" customHeight="false" outlineLevel="0" collapsed="false">
      <c r="A56" s="2" t="s">
        <v>378</v>
      </c>
      <c r="B56" s="2" t="s">
        <v>379</v>
      </c>
      <c r="C56" s="2" t="s">
        <v>380</v>
      </c>
      <c r="D56" s="2" t="s">
        <v>374</v>
      </c>
      <c r="E56" s="2"/>
      <c r="F56" s="2" t="s">
        <v>118</v>
      </c>
      <c r="G56" s="2" t="s">
        <v>163</v>
      </c>
      <c r="H56" s="2" t="s">
        <v>29</v>
      </c>
      <c r="I56" s="3" t="n">
        <f aca="false">ROUND(AVERAGE(M56:P56),0)</f>
        <v>3</v>
      </c>
      <c r="J56" s="3" t="n">
        <v>60</v>
      </c>
      <c r="K56" s="2" t="s">
        <v>30</v>
      </c>
      <c r="L56" s="2" t="s">
        <v>381</v>
      </c>
      <c r="M56" s="4" t="n">
        <v>5</v>
      </c>
      <c r="N56" s="4" t="n">
        <v>3</v>
      </c>
      <c r="O56" s="4" t="n">
        <v>2</v>
      </c>
      <c r="P56" s="4" t="n">
        <v>2</v>
      </c>
      <c r="Q56" s="2"/>
      <c r="R56" s="2" t="s">
        <v>30</v>
      </c>
      <c r="S56" s="2" t="s">
        <v>382</v>
      </c>
      <c r="T56" s="2" t="s">
        <v>52</v>
      </c>
      <c r="U56" s="2" t="s">
        <v>376</v>
      </c>
      <c r="V56" s="2" t="s">
        <v>383</v>
      </c>
    </row>
    <row r="57" customFormat="false" ht="23.85" hidden="false" customHeight="false" outlineLevel="0" collapsed="false">
      <c r="A57" s="2" t="s">
        <v>384</v>
      </c>
      <c r="B57" s="2" t="s">
        <v>385</v>
      </c>
      <c r="C57" s="2" t="s">
        <v>386</v>
      </c>
      <c r="D57" s="2" t="s">
        <v>374</v>
      </c>
      <c r="E57" s="2"/>
      <c r="F57" s="2" t="s">
        <v>118</v>
      </c>
      <c r="G57" s="2" t="s">
        <v>58</v>
      </c>
      <c r="H57" s="2" t="s">
        <v>29</v>
      </c>
      <c r="I57" s="3" t="n">
        <f aca="false">ROUND(AVERAGE(M57:P57),0)</f>
        <v>4</v>
      </c>
      <c r="J57" s="3" t="n">
        <v>10</v>
      </c>
      <c r="K57" s="2" t="s">
        <v>30</v>
      </c>
      <c r="L57" s="2"/>
      <c r="M57" s="4" t="n">
        <v>3</v>
      </c>
      <c r="N57" s="4" t="n">
        <v>3</v>
      </c>
      <c r="O57" s="4" t="n">
        <v>5</v>
      </c>
      <c r="P57" s="4" t="n">
        <v>3</v>
      </c>
      <c r="Q57" s="2"/>
      <c r="R57" s="2" t="s">
        <v>41</v>
      </c>
      <c r="S57" s="2" t="s">
        <v>387</v>
      </c>
      <c r="T57" s="2" t="s">
        <v>52</v>
      </c>
      <c r="U57" s="2" t="s">
        <v>376</v>
      </c>
      <c r="V57" s="2" t="s">
        <v>388</v>
      </c>
    </row>
    <row r="58" customFormat="false" ht="23.85" hidden="false" customHeight="false" outlineLevel="0" collapsed="false">
      <c r="A58" s="2" t="s">
        <v>389</v>
      </c>
      <c r="B58" s="2" t="s">
        <v>390</v>
      </c>
      <c r="C58" s="2" t="s">
        <v>391</v>
      </c>
      <c r="D58" s="2" t="s">
        <v>374</v>
      </c>
      <c r="E58" s="2"/>
      <c r="F58" s="2" t="s">
        <v>118</v>
      </c>
      <c r="G58" s="2" t="s">
        <v>28</v>
      </c>
      <c r="H58" s="2" t="s">
        <v>29</v>
      </c>
      <c r="I58" s="3" t="n">
        <f aca="false">ROUND(AVERAGE(M58:P58),0)</f>
        <v>4</v>
      </c>
      <c r="J58" s="3" t="n">
        <v>5</v>
      </c>
      <c r="K58" s="2" t="s">
        <v>30</v>
      </c>
      <c r="L58" s="2" t="s">
        <v>392</v>
      </c>
      <c r="M58" s="4" t="n">
        <v>2</v>
      </c>
      <c r="N58" s="4" t="n">
        <v>4</v>
      </c>
      <c r="O58" s="4" t="n">
        <v>4</v>
      </c>
      <c r="P58" s="4" t="n">
        <v>5</v>
      </c>
      <c r="Q58" s="2" t="s">
        <v>60</v>
      </c>
      <c r="R58" s="2" t="s">
        <v>41</v>
      </c>
      <c r="S58" s="2" t="s">
        <v>393</v>
      </c>
      <c r="T58" s="2" t="s">
        <v>52</v>
      </c>
      <c r="U58" s="2" t="s">
        <v>376</v>
      </c>
      <c r="V58" s="2" t="s">
        <v>394</v>
      </c>
    </row>
    <row r="59" customFormat="false" ht="23.85" hidden="false" customHeight="false" outlineLevel="0" collapsed="false">
      <c r="A59" s="2" t="s">
        <v>395</v>
      </c>
      <c r="B59" s="2" t="s">
        <v>396</v>
      </c>
      <c r="C59" s="2" t="s">
        <v>397</v>
      </c>
      <c r="D59" s="2" t="s">
        <v>374</v>
      </c>
      <c r="E59" s="2"/>
      <c r="F59" s="2" t="s">
        <v>118</v>
      </c>
      <c r="G59" s="2" t="s">
        <v>28</v>
      </c>
      <c r="H59" s="2" t="s">
        <v>29</v>
      </c>
      <c r="I59" s="3" t="n">
        <f aca="false">ROUND(AVERAGE(M59:P59),0)</f>
        <v>3</v>
      </c>
      <c r="J59" s="3" t="n">
        <v>10</v>
      </c>
      <c r="K59" s="2" t="s">
        <v>30</v>
      </c>
      <c r="L59" s="2" t="s">
        <v>398</v>
      </c>
      <c r="M59" s="4" t="n">
        <v>5</v>
      </c>
      <c r="N59" s="4" t="n">
        <v>4</v>
      </c>
      <c r="O59" s="4" t="n">
        <v>1</v>
      </c>
      <c r="P59" s="4" t="n">
        <v>2</v>
      </c>
      <c r="Q59" s="2"/>
      <c r="R59" s="2" t="s">
        <v>30</v>
      </c>
      <c r="S59" s="2" t="s">
        <v>399</v>
      </c>
      <c r="T59" s="2" t="s">
        <v>52</v>
      </c>
      <c r="U59" s="2" t="s">
        <v>400</v>
      </c>
      <c r="V59" s="2" t="s">
        <v>401</v>
      </c>
    </row>
    <row r="60" customFormat="false" ht="23.85" hidden="false" customHeight="false" outlineLevel="0" collapsed="false">
      <c r="A60" s="2" t="s">
        <v>402</v>
      </c>
      <c r="B60" s="2" t="s">
        <v>403</v>
      </c>
      <c r="C60" s="2" t="s">
        <v>404</v>
      </c>
      <c r="D60" s="2" t="s">
        <v>374</v>
      </c>
      <c r="E60" s="2"/>
      <c r="F60" s="2" t="s">
        <v>118</v>
      </c>
      <c r="G60" s="2" t="s">
        <v>28</v>
      </c>
      <c r="H60" s="2" t="s">
        <v>29</v>
      </c>
      <c r="I60" s="3" t="n">
        <f aca="false">ROUND(AVERAGE(M60:P60),0)</f>
        <v>3</v>
      </c>
      <c r="J60" s="3" t="n">
        <v>30</v>
      </c>
      <c r="K60" s="2" t="s">
        <v>30</v>
      </c>
      <c r="L60" s="2" t="s">
        <v>405</v>
      </c>
      <c r="M60" s="4" t="n">
        <v>4</v>
      </c>
      <c r="N60" s="4" t="n">
        <v>5</v>
      </c>
      <c r="O60" s="4" t="n">
        <v>2</v>
      </c>
      <c r="P60" s="4" t="n">
        <v>1</v>
      </c>
      <c r="Q60" s="2"/>
      <c r="R60" s="2" t="s">
        <v>30</v>
      </c>
      <c r="S60" s="2" t="s">
        <v>406</v>
      </c>
      <c r="T60" s="2" t="s">
        <v>34</v>
      </c>
      <c r="U60" s="2" t="s">
        <v>45</v>
      </c>
      <c r="V60" s="2" t="s">
        <v>407</v>
      </c>
    </row>
    <row r="61" customFormat="false" ht="23.85" hidden="false" customHeight="false" outlineLevel="0" collapsed="false">
      <c r="A61" s="2" t="s">
        <v>408</v>
      </c>
      <c r="B61" s="2" t="s">
        <v>409</v>
      </c>
      <c r="C61" s="2" t="s">
        <v>410</v>
      </c>
      <c r="D61" s="2" t="s">
        <v>374</v>
      </c>
      <c r="E61" s="2"/>
      <c r="F61" s="2" t="s">
        <v>118</v>
      </c>
      <c r="G61" s="2" t="s">
        <v>28</v>
      </c>
      <c r="H61" s="2" t="s">
        <v>217</v>
      </c>
      <c r="I61" s="3" t="n">
        <f aca="false">ROUND(AVERAGE(M61:P61),0)</f>
        <v>3</v>
      </c>
      <c r="J61" s="3" t="n">
        <v>5</v>
      </c>
      <c r="K61" s="2" t="s">
        <v>30</v>
      </c>
      <c r="L61" s="2" t="s">
        <v>411</v>
      </c>
      <c r="M61" s="4" t="n">
        <v>5</v>
      </c>
      <c r="N61" s="4" t="n">
        <v>4</v>
      </c>
      <c r="O61" s="4" t="n">
        <v>2</v>
      </c>
      <c r="P61" s="4" t="n">
        <v>1</v>
      </c>
      <c r="Q61" s="2"/>
      <c r="R61" s="2" t="s">
        <v>30</v>
      </c>
      <c r="S61" s="2" t="s">
        <v>412</v>
      </c>
      <c r="T61" s="2" t="s">
        <v>52</v>
      </c>
      <c r="U61" s="2" t="s">
        <v>400</v>
      </c>
      <c r="V61" s="2" t="s">
        <v>413</v>
      </c>
    </row>
    <row r="62" customFormat="false" ht="23.85" hidden="false" customHeight="false" outlineLevel="0" collapsed="false">
      <c r="A62" s="2" t="s">
        <v>414</v>
      </c>
      <c r="B62" s="2" t="s">
        <v>415</v>
      </c>
      <c r="C62" s="2" t="s">
        <v>416</v>
      </c>
      <c r="D62" s="2" t="s">
        <v>374</v>
      </c>
      <c r="E62" s="2"/>
      <c r="F62" s="2" t="s">
        <v>118</v>
      </c>
      <c r="G62" s="2" t="s">
        <v>125</v>
      </c>
      <c r="H62" s="2" t="s">
        <v>29</v>
      </c>
      <c r="I62" s="3" t="n">
        <f aca="false">ROUND(AVERAGE(M62:P62),0)</f>
        <v>3</v>
      </c>
      <c r="J62" s="3" t="n">
        <v>15</v>
      </c>
      <c r="K62" s="2" t="s">
        <v>30</v>
      </c>
      <c r="L62" s="2"/>
      <c r="M62" s="4" t="n">
        <v>4</v>
      </c>
      <c r="N62" s="4" t="n">
        <v>4</v>
      </c>
      <c r="O62" s="4" t="n">
        <v>1</v>
      </c>
      <c r="P62" s="4" t="n">
        <v>3</v>
      </c>
      <c r="Q62" s="2"/>
      <c r="R62" s="2" t="s">
        <v>30</v>
      </c>
      <c r="S62" s="2" t="s">
        <v>417</v>
      </c>
      <c r="T62" s="2" t="s">
        <v>52</v>
      </c>
      <c r="U62" s="2" t="s">
        <v>376</v>
      </c>
      <c r="V62" s="2" t="s">
        <v>418</v>
      </c>
    </row>
    <row r="63" customFormat="false" ht="23.85" hidden="false" customHeight="false" outlineLevel="0" collapsed="false">
      <c r="A63" s="2" t="s">
        <v>419</v>
      </c>
      <c r="B63" s="2" t="s">
        <v>420</v>
      </c>
      <c r="C63" s="2" t="s">
        <v>421</v>
      </c>
      <c r="D63" s="2" t="s">
        <v>374</v>
      </c>
      <c r="E63" s="2"/>
      <c r="F63" s="2" t="s">
        <v>118</v>
      </c>
      <c r="G63" s="2" t="s">
        <v>28</v>
      </c>
      <c r="H63" s="2" t="s">
        <v>29</v>
      </c>
      <c r="I63" s="3" t="n">
        <f aca="false">ROUND(AVERAGE(M63:P63),0)</f>
        <v>3</v>
      </c>
      <c r="J63" s="3" t="n">
        <v>1</v>
      </c>
      <c r="K63" s="2" t="s">
        <v>30</v>
      </c>
      <c r="L63" s="2"/>
      <c r="M63" s="4" t="n">
        <v>5</v>
      </c>
      <c r="N63" s="4" t="n">
        <v>3</v>
      </c>
      <c r="O63" s="4" t="n">
        <v>1</v>
      </c>
      <c r="P63" s="4" t="n">
        <v>2</v>
      </c>
      <c r="Q63" s="2"/>
      <c r="R63" s="2" t="s">
        <v>30</v>
      </c>
      <c r="S63" s="2" t="s">
        <v>422</v>
      </c>
      <c r="T63" s="2" t="s">
        <v>52</v>
      </c>
      <c r="U63" s="2" t="s">
        <v>376</v>
      </c>
      <c r="V63" s="2" t="s">
        <v>423</v>
      </c>
    </row>
    <row r="64" customFormat="false" ht="23.85" hidden="false" customHeight="false" outlineLevel="0" collapsed="false">
      <c r="A64" s="2" t="s">
        <v>424</v>
      </c>
      <c r="B64" s="2" t="s">
        <v>425</v>
      </c>
      <c r="C64" s="2" t="s">
        <v>426</v>
      </c>
      <c r="D64" s="2" t="s">
        <v>374</v>
      </c>
      <c r="E64" s="2"/>
      <c r="F64" s="2" t="s">
        <v>118</v>
      </c>
      <c r="G64" s="2" t="s">
        <v>427</v>
      </c>
      <c r="H64" s="2" t="s">
        <v>29</v>
      </c>
      <c r="I64" s="3" t="n">
        <f aca="false">ROUND(AVERAGE(M64:P64),0)</f>
        <v>3</v>
      </c>
      <c r="J64" s="3" t="n">
        <v>30</v>
      </c>
      <c r="K64" s="2" t="s">
        <v>41</v>
      </c>
      <c r="L64" s="2"/>
      <c r="M64" s="4" t="n">
        <v>2</v>
      </c>
      <c r="N64" s="4" t="n">
        <v>3</v>
      </c>
      <c r="O64" s="4" t="n">
        <v>4</v>
      </c>
      <c r="P64" s="4" t="n">
        <v>2</v>
      </c>
      <c r="Q64" s="2"/>
      <c r="R64" s="2" t="s">
        <v>30</v>
      </c>
      <c r="S64" s="2" t="s">
        <v>428</v>
      </c>
      <c r="T64" s="2" t="s">
        <v>273</v>
      </c>
      <c r="U64" s="2" t="s">
        <v>429</v>
      </c>
      <c r="V64" s="2" t="s">
        <v>430</v>
      </c>
    </row>
    <row r="65" customFormat="false" ht="35.05" hidden="false" customHeight="false" outlineLevel="0" collapsed="false">
      <c r="A65" s="2" t="s">
        <v>431</v>
      </c>
      <c r="B65" s="2" t="s">
        <v>432</v>
      </c>
      <c r="C65" s="2" t="s">
        <v>433</v>
      </c>
      <c r="D65" s="2" t="s">
        <v>374</v>
      </c>
      <c r="E65" s="2"/>
      <c r="F65" s="2" t="s">
        <v>118</v>
      </c>
      <c r="G65" s="2" t="s">
        <v>427</v>
      </c>
      <c r="H65" s="2" t="s">
        <v>29</v>
      </c>
      <c r="I65" s="3" t="n">
        <f aca="false">ROUND(AVERAGE(M65:P65),0)</f>
        <v>3</v>
      </c>
      <c r="J65" s="3" t="n">
        <v>30</v>
      </c>
      <c r="K65" s="2" t="s">
        <v>30</v>
      </c>
      <c r="L65" s="2"/>
      <c r="M65" s="4" t="n">
        <v>1</v>
      </c>
      <c r="N65" s="4" t="n">
        <v>3</v>
      </c>
      <c r="O65" s="4" t="n">
        <v>2</v>
      </c>
      <c r="P65" s="4" t="n">
        <v>5</v>
      </c>
      <c r="Q65" s="2" t="s">
        <v>60</v>
      </c>
      <c r="R65" s="2" t="s">
        <v>30</v>
      </c>
      <c r="S65" s="2" t="s">
        <v>434</v>
      </c>
      <c r="T65" s="2" t="s">
        <v>34</v>
      </c>
      <c r="U65" s="2" t="s">
        <v>133</v>
      </c>
      <c r="V65" s="2" t="s">
        <v>435</v>
      </c>
    </row>
    <row r="66" customFormat="false" ht="23.85" hidden="false" customHeight="false" outlineLevel="0" collapsed="false">
      <c r="A66" s="2" t="s">
        <v>436</v>
      </c>
      <c r="B66" s="2" t="s">
        <v>437</v>
      </c>
      <c r="C66" s="2" t="s">
        <v>438</v>
      </c>
      <c r="D66" s="2" t="s">
        <v>374</v>
      </c>
      <c r="E66" s="2"/>
      <c r="F66" s="2" t="s">
        <v>118</v>
      </c>
      <c r="G66" s="2" t="s">
        <v>163</v>
      </c>
      <c r="H66" s="2" t="s">
        <v>29</v>
      </c>
      <c r="I66" s="3" t="n">
        <f aca="false">ROUND(AVERAGE(M66:P66),0)</f>
        <v>3</v>
      </c>
      <c r="J66" s="3" t="n">
        <v>5</v>
      </c>
      <c r="K66" s="2" t="s">
        <v>30</v>
      </c>
      <c r="L66" s="2" t="s">
        <v>439</v>
      </c>
      <c r="M66" s="4" t="n">
        <v>5</v>
      </c>
      <c r="N66" s="4" t="n">
        <v>2</v>
      </c>
      <c r="O66" s="4" t="n">
        <v>3</v>
      </c>
      <c r="P66" s="4" t="n">
        <v>2</v>
      </c>
      <c r="Q66" s="2"/>
      <c r="R66" s="2" t="s">
        <v>30</v>
      </c>
      <c r="S66" s="2" t="s">
        <v>440</v>
      </c>
      <c r="T66" s="2" t="s">
        <v>34</v>
      </c>
      <c r="U66" s="2" t="s">
        <v>35</v>
      </c>
      <c r="V66" s="2" t="s">
        <v>441</v>
      </c>
    </row>
    <row r="67" customFormat="false" ht="23.85" hidden="false" customHeight="false" outlineLevel="0" collapsed="false">
      <c r="A67" s="2" t="s">
        <v>442</v>
      </c>
      <c r="B67" s="2" t="s">
        <v>443</v>
      </c>
      <c r="C67" s="2" t="s">
        <v>444</v>
      </c>
      <c r="D67" s="2" t="s">
        <v>374</v>
      </c>
      <c r="E67" s="2"/>
      <c r="F67" s="2" t="s">
        <v>118</v>
      </c>
      <c r="G67" s="2" t="s">
        <v>125</v>
      </c>
      <c r="H67" s="2" t="s">
        <v>29</v>
      </c>
      <c r="I67" s="3" t="n">
        <f aca="false">ROUND(AVERAGE(M67:P67),0)</f>
        <v>4</v>
      </c>
      <c r="J67" s="3" t="n">
        <v>10</v>
      </c>
      <c r="K67" s="2" t="s">
        <v>30</v>
      </c>
      <c r="L67" s="2" t="s">
        <v>445</v>
      </c>
      <c r="M67" s="4" t="n">
        <v>2</v>
      </c>
      <c r="N67" s="4" t="n">
        <v>3</v>
      </c>
      <c r="O67" s="4" t="n">
        <v>4</v>
      </c>
      <c r="P67" s="4" t="n">
        <v>5</v>
      </c>
      <c r="Q67" s="2" t="s">
        <v>60</v>
      </c>
      <c r="R67" s="2" t="s">
        <v>41</v>
      </c>
      <c r="S67" s="2" t="s">
        <v>446</v>
      </c>
      <c r="T67" s="2" t="s">
        <v>273</v>
      </c>
      <c r="U67" s="2" t="s">
        <v>281</v>
      </c>
      <c r="V67" s="2" t="s">
        <v>447</v>
      </c>
    </row>
    <row r="68" customFormat="false" ht="23.85" hidden="false" customHeight="false" outlineLevel="0" collapsed="false">
      <c r="A68" s="2" t="s">
        <v>448</v>
      </c>
      <c r="B68" s="2" t="s">
        <v>449</v>
      </c>
      <c r="C68" s="2" t="s">
        <v>450</v>
      </c>
      <c r="D68" s="2" t="s">
        <v>374</v>
      </c>
      <c r="E68" s="2"/>
      <c r="F68" s="2" t="s">
        <v>118</v>
      </c>
      <c r="G68" s="2" t="s">
        <v>28</v>
      </c>
      <c r="H68" s="2" t="s">
        <v>29</v>
      </c>
      <c r="I68" s="3" t="n">
        <f aca="false">ROUND(AVERAGE(M68:P68),0)</f>
        <v>3</v>
      </c>
      <c r="J68" s="3" t="n">
        <v>5</v>
      </c>
      <c r="K68" s="2" t="s">
        <v>30</v>
      </c>
      <c r="L68" s="2"/>
      <c r="M68" s="4" t="n">
        <v>4</v>
      </c>
      <c r="N68" s="4" t="n">
        <v>3</v>
      </c>
      <c r="O68" s="4" t="n">
        <v>1</v>
      </c>
      <c r="P68" s="4" t="n">
        <v>2</v>
      </c>
      <c r="Q68" s="2"/>
      <c r="R68" s="2" t="s">
        <v>30</v>
      </c>
      <c r="S68" s="2" t="s">
        <v>451</v>
      </c>
      <c r="T68" s="2" t="s">
        <v>273</v>
      </c>
      <c r="U68" s="2" t="s">
        <v>452</v>
      </c>
      <c r="V68" s="2" t="s">
        <v>453</v>
      </c>
    </row>
    <row r="69" customFormat="false" ht="23.85" hidden="false" customHeight="false" outlineLevel="0" collapsed="false">
      <c r="A69" s="2" t="s">
        <v>454</v>
      </c>
      <c r="B69" s="2" t="s">
        <v>455</v>
      </c>
      <c r="C69" s="2" t="s">
        <v>456</v>
      </c>
      <c r="D69" s="2" t="s">
        <v>457</v>
      </c>
      <c r="E69" s="2"/>
      <c r="F69" s="2" t="s">
        <v>458</v>
      </c>
      <c r="G69" s="2" t="s">
        <v>58</v>
      </c>
      <c r="H69" s="2" t="s">
        <v>29</v>
      </c>
      <c r="I69" s="3" t="n">
        <f aca="false">ROUND(AVERAGE(M69:P69),0)</f>
        <v>3</v>
      </c>
      <c r="J69" s="3" t="n">
        <v>15</v>
      </c>
      <c r="K69" s="2" t="s">
        <v>30</v>
      </c>
      <c r="L69" s="2"/>
      <c r="M69" s="4" t="n">
        <v>2</v>
      </c>
      <c r="N69" s="4" t="n">
        <v>2</v>
      </c>
      <c r="O69" s="4" t="n">
        <v>3</v>
      </c>
      <c r="P69" s="4" t="n">
        <v>5</v>
      </c>
      <c r="Q69" s="2"/>
      <c r="R69" s="2" t="s">
        <v>41</v>
      </c>
      <c r="S69" s="2" t="s">
        <v>459</v>
      </c>
      <c r="T69" s="2" t="s">
        <v>52</v>
      </c>
      <c r="U69" s="2" t="s">
        <v>460</v>
      </c>
      <c r="V69" s="2" t="s">
        <v>461</v>
      </c>
    </row>
    <row r="70" customFormat="false" ht="23.85" hidden="false" customHeight="false" outlineLevel="0" collapsed="false">
      <c r="A70" s="2" t="s">
        <v>462</v>
      </c>
      <c r="B70" s="2" t="s">
        <v>463</v>
      </c>
      <c r="C70" s="2" t="s">
        <v>464</v>
      </c>
      <c r="D70" s="2" t="s">
        <v>457</v>
      </c>
      <c r="E70" s="2"/>
      <c r="F70" s="2" t="s">
        <v>458</v>
      </c>
      <c r="G70" s="2" t="s">
        <v>316</v>
      </c>
      <c r="H70" s="2" t="s">
        <v>59</v>
      </c>
      <c r="I70" s="3" t="n">
        <f aca="false">ROUND(AVERAGE(M70:P70),0)</f>
        <v>3</v>
      </c>
      <c r="J70" s="3" t="n">
        <v>15</v>
      </c>
      <c r="K70" s="2" t="s">
        <v>41</v>
      </c>
      <c r="L70" s="2"/>
      <c r="M70" s="4" t="n">
        <v>5</v>
      </c>
      <c r="N70" s="4" t="n">
        <v>1</v>
      </c>
      <c r="O70" s="4" t="n">
        <v>3</v>
      </c>
      <c r="P70" s="4" t="n">
        <v>4</v>
      </c>
      <c r="Q70" s="2"/>
      <c r="R70" s="2" t="s">
        <v>30</v>
      </c>
      <c r="S70" s="2" t="s">
        <v>465</v>
      </c>
      <c r="T70" s="2" t="s">
        <v>34</v>
      </c>
      <c r="U70" s="2" t="s">
        <v>466</v>
      </c>
      <c r="V70" s="2" t="s">
        <v>467</v>
      </c>
    </row>
    <row r="71" customFormat="false" ht="23.85" hidden="false" customHeight="false" outlineLevel="0" collapsed="false">
      <c r="A71" s="2" t="s">
        <v>468</v>
      </c>
      <c r="B71" s="2" t="s">
        <v>469</v>
      </c>
      <c r="C71" s="2" t="s">
        <v>470</v>
      </c>
      <c r="D71" s="2" t="s">
        <v>457</v>
      </c>
      <c r="E71" s="2"/>
      <c r="F71" s="2" t="s">
        <v>458</v>
      </c>
      <c r="G71" s="2" t="s">
        <v>125</v>
      </c>
      <c r="H71" s="2" t="s">
        <v>29</v>
      </c>
      <c r="I71" s="3" t="n">
        <f aca="false">ROUND(AVERAGE(M71:P71),0)</f>
        <v>3</v>
      </c>
      <c r="J71" s="3" t="n">
        <v>10</v>
      </c>
      <c r="K71" s="2" t="s">
        <v>30</v>
      </c>
      <c r="L71" s="2"/>
      <c r="M71" s="4" t="n">
        <v>2</v>
      </c>
      <c r="N71" s="4" t="n">
        <v>3</v>
      </c>
      <c r="O71" s="4" t="n">
        <v>2</v>
      </c>
      <c r="P71" s="4" t="n">
        <v>5</v>
      </c>
      <c r="Q71" s="2"/>
      <c r="R71" s="2" t="s">
        <v>41</v>
      </c>
      <c r="S71" s="2" t="s">
        <v>471</v>
      </c>
      <c r="T71" s="2" t="s">
        <v>34</v>
      </c>
      <c r="U71" s="2" t="s">
        <v>466</v>
      </c>
      <c r="V71" s="2" t="s">
        <v>472</v>
      </c>
    </row>
    <row r="72" customFormat="false" ht="23.85" hidden="false" customHeight="false" outlineLevel="0" collapsed="false">
      <c r="A72" s="2" t="s">
        <v>473</v>
      </c>
      <c r="B72" s="2" t="s">
        <v>474</v>
      </c>
      <c r="C72" s="2" t="s">
        <v>475</v>
      </c>
      <c r="D72" s="2" t="s">
        <v>457</v>
      </c>
      <c r="E72" s="2"/>
      <c r="F72" s="2" t="s">
        <v>458</v>
      </c>
      <c r="G72" s="2" t="s">
        <v>316</v>
      </c>
      <c r="H72" s="2" t="s">
        <v>29</v>
      </c>
      <c r="I72" s="3" t="n">
        <f aca="false">ROUND(AVERAGE(M72:P72),0)</f>
        <v>3</v>
      </c>
      <c r="J72" s="3" t="n">
        <v>15</v>
      </c>
      <c r="K72" s="2" t="s">
        <v>41</v>
      </c>
      <c r="L72" s="2"/>
      <c r="M72" s="4" t="n">
        <v>3</v>
      </c>
      <c r="N72" s="4" t="n">
        <v>2</v>
      </c>
      <c r="O72" s="4" t="n">
        <v>5</v>
      </c>
      <c r="P72" s="4" t="n">
        <v>3</v>
      </c>
      <c r="Q72" s="2"/>
      <c r="R72" s="2" t="s">
        <v>41</v>
      </c>
      <c r="S72" s="2" t="s">
        <v>476</v>
      </c>
      <c r="T72" s="2" t="s">
        <v>34</v>
      </c>
      <c r="U72" s="2" t="s">
        <v>466</v>
      </c>
      <c r="V72" s="2" t="s">
        <v>477</v>
      </c>
    </row>
    <row r="73" customFormat="false" ht="23.85" hidden="false" customHeight="false" outlineLevel="0" collapsed="false">
      <c r="A73" s="2" t="s">
        <v>478</v>
      </c>
      <c r="B73" s="2" t="s">
        <v>479</v>
      </c>
      <c r="C73" s="2" t="s">
        <v>480</v>
      </c>
      <c r="D73" s="2" t="s">
        <v>457</v>
      </c>
      <c r="E73" s="2"/>
      <c r="F73" s="2" t="s">
        <v>458</v>
      </c>
      <c r="G73" s="2" t="s">
        <v>28</v>
      </c>
      <c r="H73" s="2" t="s">
        <v>29</v>
      </c>
      <c r="I73" s="3" t="n">
        <f aca="false">ROUND(AVERAGE(M73:P73),0)</f>
        <v>3</v>
      </c>
      <c r="J73" s="3" t="n">
        <v>10</v>
      </c>
      <c r="K73" s="2" t="s">
        <v>30</v>
      </c>
      <c r="L73" s="2" t="s">
        <v>481</v>
      </c>
      <c r="M73" s="4" t="n">
        <v>1</v>
      </c>
      <c r="N73" s="4" t="n">
        <v>3</v>
      </c>
      <c r="O73" s="4" t="n">
        <v>3</v>
      </c>
      <c r="P73" s="4" t="n">
        <v>5</v>
      </c>
      <c r="Q73" s="2" t="s">
        <v>32</v>
      </c>
      <c r="R73" s="2" t="s">
        <v>30</v>
      </c>
      <c r="S73" s="2" t="s">
        <v>482</v>
      </c>
      <c r="T73" s="2" t="s">
        <v>52</v>
      </c>
      <c r="U73" s="2" t="s">
        <v>460</v>
      </c>
      <c r="V73" s="2" t="s">
        <v>483</v>
      </c>
    </row>
    <row r="74" customFormat="false" ht="23.85" hidden="false" customHeight="false" outlineLevel="0" collapsed="false">
      <c r="A74" s="2" t="s">
        <v>484</v>
      </c>
      <c r="B74" s="2" t="s">
        <v>485</v>
      </c>
      <c r="C74" s="2" t="s">
        <v>486</v>
      </c>
      <c r="D74" s="2" t="s">
        <v>457</v>
      </c>
      <c r="E74" s="2"/>
      <c r="F74" s="2" t="s">
        <v>458</v>
      </c>
      <c r="G74" s="2" t="s">
        <v>58</v>
      </c>
      <c r="H74" s="2" t="s">
        <v>59</v>
      </c>
      <c r="I74" s="3" t="n">
        <f aca="false">ROUND(AVERAGE(M74:P74),0)</f>
        <v>3</v>
      </c>
      <c r="J74" s="3" t="n">
        <v>20</v>
      </c>
      <c r="K74" s="2" t="s">
        <v>41</v>
      </c>
      <c r="L74" s="2"/>
      <c r="M74" s="4" t="n">
        <v>3</v>
      </c>
      <c r="N74" s="4" t="n">
        <v>1</v>
      </c>
      <c r="O74" s="4" t="n">
        <v>3</v>
      </c>
      <c r="P74" s="4" t="n">
        <v>5</v>
      </c>
      <c r="Q74" s="2" t="s">
        <v>60</v>
      </c>
      <c r="R74" s="2" t="s">
        <v>41</v>
      </c>
      <c r="S74" s="2" t="s">
        <v>487</v>
      </c>
      <c r="T74" s="2" t="s">
        <v>34</v>
      </c>
      <c r="U74" s="2" t="s">
        <v>466</v>
      </c>
      <c r="V74" s="2" t="s">
        <v>488</v>
      </c>
    </row>
    <row r="75" customFormat="false" ht="35.05" hidden="false" customHeight="false" outlineLevel="0" collapsed="false">
      <c r="A75" s="2" t="s">
        <v>489</v>
      </c>
      <c r="B75" s="2" t="s">
        <v>490</v>
      </c>
      <c r="C75" s="2" t="s">
        <v>491</v>
      </c>
      <c r="D75" s="2" t="s">
        <v>457</v>
      </c>
      <c r="E75" s="2"/>
      <c r="F75" s="2" t="s">
        <v>458</v>
      </c>
      <c r="G75" s="2" t="s">
        <v>58</v>
      </c>
      <c r="H75" s="2" t="s">
        <v>217</v>
      </c>
      <c r="I75" s="3" t="n">
        <f aca="false">ROUND(AVERAGE(M75:P75),0)</f>
        <v>4</v>
      </c>
      <c r="J75" s="3" t="n">
        <v>1</v>
      </c>
      <c r="K75" s="2" t="s">
        <v>41</v>
      </c>
      <c r="L75" s="2"/>
      <c r="M75" s="4" t="n">
        <v>3</v>
      </c>
      <c r="N75" s="4" t="n">
        <v>4</v>
      </c>
      <c r="O75" s="4" t="n">
        <v>4</v>
      </c>
      <c r="P75" s="4" t="n">
        <v>3</v>
      </c>
      <c r="Q75" s="2"/>
      <c r="R75" s="2" t="s">
        <v>30</v>
      </c>
      <c r="S75" s="2" t="s">
        <v>492</v>
      </c>
      <c r="T75" s="2" t="s">
        <v>34</v>
      </c>
      <c r="U75" s="2" t="s">
        <v>466</v>
      </c>
      <c r="V75" s="2" t="s">
        <v>493</v>
      </c>
    </row>
    <row r="76" customFormat="false" ht="23.85" hidden="false" customHeight="false" outlineLevel="0" collapsed="false">
      <c r="A76" s="2" t="s">
        <v>494</v>
      </c>
      <c r="B76" s="2" t="s">
        <v>495</v>
      </c>
      <c r="C76" s="2" t="s">
        <v>496</v>
      </c>
      <c r="D76" s="2" t="s">
        <v>457</v>
      </c>
      <c r="E76" s="2"/>
      <c r="F76" s="2" t="s">
        <v>458</v>
      </c>
      <c r="G76" s="2" t="s">
        <v>427</v>
      </c>
      <c r="H76" s="2" t="s">
        <v>29</v>
      </c>
      <c r="I76" s="3" t="n">
        <f aca="false">ROUND(AVERAGE(M76:P76),0)</f>
        <v>4</v>
      </c>
      <c r="J76" s="3" t="n">
        <v>10</v>
      </c>
      <c r="K76" s="2" t="s">
        <v>30</v>
      </c>
      <c r="L76" s="2" t="s">
        <v>497</v>
      </c>
      <c r="M76" s="4" t="n">
        <v>2</v>
      </c>
      <c r="N76" s="4" t="n">
        <v>4</v>
      </c>
      <c r="O76" s="4" t="n">
        <v>3</v>
      </c>
      <c r="P76" s="4" t="n">
        <v>5</v>
      </c>
      <c r="Q76" s="2" t="s">
        <v>60</v>
      </c>
      <c r="R76" s="2" t="s">
        <v>30</v>
      </c>
      <c r="S76" s="2" t="s">
        <v>498</v>
      </c>
      <c r="T76" s="2" t="s">
        <v>34</v>
      </c>
      <c r="U76" s="2" t="s">
        <v>466</v>
      </c>
      <c r="V76" s="2" t="s">
        <v>499</v>
      </c>
    </row>
    <row r="77" customFormat="false" ht="23.85" hidden="false" customHeight="false" outlineLevel="0" collapsed="false">
      <c r="A77" s="2" t="s">
        <v>500</v>
      </c>
      <c r="B77" s="2" t="s">
        <v>501</v>
      </c>
      <c r="C77" s="2" t="s">
        <v>502</v>
      </c>
      <c r="D77" s="2" t="s">
        <v>457</v>
      </c>
      <c r="E77" s="2"/>
      <c r="F77" s="2" t="s">
        <v>458</v>
      </c>
      <c r="G77" s="2" t="s">
        <v>163</v>
      </c>
      <c r="H77" s="2" t="s">
        <v>29</v>
      </c>
      <c r="I77" s="3" t="n">
        <f aca="false">ROUND(AVERAGE(M77:P77),0)</f>
        <v>3</v>
      </c>
      <c r="J77" s="3" t="n">
        <v>30</v>
      </c>
      <c r="K77" s="2" t="s">
        <v>41</v>
      </c>
      <c r="L77" s="2"/>
      <c r="M77" s="4" t="n">
        <v>3</v>
      </c>
      <c r="N77" s="4" t="n">
        <v>2</v>
      </c>
      <c r="O77" s="4" t="n">
        <v>3</v>
      </c>
      <c r="P77" s="4" t="n">
        <v>3</v>
      </c>
      <c r="Q77" s="2"/>
      <c r="R77" s="2" t="s">
        <v>30</v>
      </c>
      <c r="S77" s="2" t="s">
        <v>503</v>
      </c>
      <c r="T77" s="2" t="s">
        <v>34</v>
      </c>
      <c r="U77" s="2" t="s">
        <v>466</v>
      </c>
      <c r="V77" s="2" t="s">
        <v>504</v>
      </c>
    </row>
    <row r="78" customFormat="false" ht="23.85" hidden="false" customHeight="false" outlineLevel="0" collapsed="false">
      <c r="A78" s="2" t="s">
        <v>505</v>
      </c>
      <c r="B78" s="2" t="s">
        <v>506</v>
      </c>
      <c r="C78" s="2" t="s">
        <v>507</v>
      </c>
      <c r="D78" s="2" t="s">
        <v>457</v>
      </c>
      <c r="E78" s="2"/>
      <c r="F78" s="2" t="s">
        <v>458</v>
      </c>
      <c r="G78" s="2" t="s">
        <v>28</v>
      </c>
      <c r="H78" s="2" t="s">
        <v>59</v>
      </c>
      <c r="I78" s="3" t="n">
        <f aca="false">ROUND(AVERAGE(M78:P78),0)</f>
        <v>3</v>
      </c>
      <c r="J78" s="3" t="n">
        <v>10</v>
      </c>
      <c r="K78" s="2" t="s">
        <v>41</v>
      </c>
      <c r="L78" s="2"/>
      <c r="M78" s="4" t="n">
        <v>3</v>
      </c>
      <c r="N78" s="4" t="n">
        <v>3</v>
      </c>
      <c r="O78" s="4" t="n">
        <v>3</v>
      </c>
      <c r="P78" s="4" t="n">
        <v>4</v>
      </c>
      <c r="Q78" s="2"/>
      <c r="R78" s="2" t="s">
        <v>41</v>
      </c>
      <c r="S78" s="2" t="s">
        <v>508</v>
      </c>
      <c r="T78" s="2" t="s">
        <v>34</v>
      </c>
      <c r="U78" s="2" t="s">
        <v>466</v>
      </c>
      <c r="V78" s="2" t="s">
        <v>509</v>
      </c>
    </row>
    <row r="79" customFormat="false" ht="23.85" hidden="false" customHeight="false" outlineLevel="0" collapsed="false">
      <c r="A79" s="2" t="s">
        <v>510</v>
      </c>
      <c r="B79" s="2" t="s">
        <v>511</v>
      </c>
      <c r="C79" s="2" t="s">
        <v>512</v>
      </c>
      <c r="D79" s="2" t="s">
        <v>457</v>
      </c>
      <c r="E79" s="2"/>
      <c r="F79" s="2" t="s">
        <v>458</v>
      </c>
      <c r="G79" s="2" t="s">
        <v>58</v>
      </c>
      <c r="H79" s="2" t="s">
        <v>29</v>
      </c>
      <c r="I79" s="3" t="n">
        <f aca="false">ROUND(AVERAGE(M79:P79),0)</f>
        <v>3</v>
      </c>
      <c r="J79" s="3" t="n">
        <v>30</v>
      </c>
      <c r="K79" s="2" t="s">
        <v>41</v>
      </c>
      <c r="L79" s="2"/>
      <c r="M79" s="4" t="n">
        <v>3</v>
      </c>
      <c r="N79" s="4" t="n">
        <v>3</v>
      </c>
      <c r="O79" s="4" t="n">
        <v>3</v>
      </c>
      <c r="P79" s="4" t="n">
        <v>4</v>
      </c>
      <c r="Q79" s="2"/>
      <c r="R79" s="2" t="s">
        <v>30</v>
      </c>
      <c r="S79" s="2" t="s">
        <v>513</v>
      </c>
      <c r="T79" s="2" t="s">
        <v>52</v>
      </c>
      <c r="U79" s="2" t="s">
        <v>460</v>
      </c>
      <c r="V79" s="2" t="s">
        <v>514</v>
      </c>
    </row>
    <row r="80" customFormat="false" ht="23.85" hidden="false" customHeight="false" outlineLevel="0" collapsed="false">
      <c r="A80" s="2" t="s">
        <v>515</v>
      </c>
      <c r="B80" s="2" t="s">
        <v>516</v>
      </c>
      <c r="C80" s="2" t="s">
        <v>517</v>
      </c>
      <c r="D80" s="2" t="s">
        <v>457</v>
      </c>
      <c r="E80" s="2"/>
      <c r="F80" s="2" t="s">
        <v>458</v>
      </c>
      <c r="G80" s="2" t="s">
        <v>28</v>
      </c>
      <c r="H80" s="2" t="s">
        <v>29</v>
      </c>
      <c r="I80" s="3" t="n">
        <f aca="false">ROUND(AVERAGE(M80:P80),0)</f>
        <v>3</v>
      </c>
      <c r="J80" s="3" t="n">
        <v>15</v>
      </c>
      <c r="K80" s="2" t="s">
        <v>30</v>
      </c>
      <c r="L80" s="2"/>
      <c r="M80" s="4" t="n">
        <v>3</v>
      </c>
      <c r="N80" s="4" t="n">
        <v>4</v>
      </c>
      <c r="O80" s="4" t="n">
        <v>2</v>
      </c>
      <c r="P80" s="4" t="n">
        <v>4</v>
      </c>
      <c r="Q80" s="2"/>
      <c r="R80" s="2" t="s">
        <v>30</v>
      </c>
      <c r="S80" s="2" t="s">
        <v>518</v>
      </c>
      <c r="T80" s="2" t="s">
        <v>52</v>
      </c>
      <c r="U80" s="2" t="s">
        <v>460</v>
      </c>
      <c r="V80" s="2" t="s">
        <v>519</v>
      </c>
    </row>
    <row r="81" customFormat="false" ht="23.85" hidden="false" customHeight="false" outlineLevel="0" collapsed="false">
      <c r="A81" s="2" t="s">
        <v>520</v>
      </c>
      <c r="B81" s="2" t="s">
        <v>521</v>
      </c>
      <c r="C81" s="2" t="s">
        <v>522</v>
      </c>
      <c r="D81" s="2" t="s">
        <v>457</v>
      </c>
      <c r="E81" s="2"/>
      <c r="F81" s="2" t="s">
        <v>458</v>
      </c>
      <c r="G81" s="2" t="s">
        <v>427</v>
      </c>
      <c r="H81" s="2" t="s">
        <v>59</v>
      </c>
      <c r="I81" s="3" t="n">
        <f aca="false">ROUND(AVERAGE(M81:P81),0)</f>
        <v>4</v>
      </c>
      <c r="J81" s="3" t="n">
        <v>10</v>
      </c>
      <c r="K81" s="2" t="s">
        <v>41</v>
      </c>
      <c r="L81" s="2" t="s">
        <v>523</v>
      </c>
      <c r="M81" s="4" t="n">
        <v>2</v>
      </c>
      <c r="N81" s="4" t="n">
        <v>5</v>
      </c>
      <c r="O81" s="4" t="n">
        <v>3</v>
      </c>
      <c r="P81" s="4" t="n">
        <v>5</v>
      </c>
      <c r="Q81" s="2"/>
      <c r="R81" s="2" t="s">
        <v>30</v>
      </c>
      <c r="S81" s="2" t="s">
        <v>524</v>
      </c>
      <c r="T81" s="2" t="s">
        <v>52</v>
      </c>
      <c r="U81" s="2" t="s">
        <v>460</v>
      </c>
      <c r="V81" s="2" t="s">
        <v>525</v>
      </c>
    </row>
    <row r="82" customFormat="false" ht="23.85" hidden="false" customHeight="false" outlineLevel="0" collapsed="false">
      <c r="A82" s="2" t="s">
        <v>526</v>
      </c>
      <c r="B82" s="2" t="s">
        <v>527</v>
      </c>
      <c r="C82" s="2" t="s">
        <v>528</v>
      </c>
      <c r="D82" s="2" t="s">
        <v>457</v>
      </c>
      <c r="E82" s="2"/>
      <c r="F82" s="2" t="s">
        <v>458</v>
      </c>
      <c r="G82" s="2" t="s">
        <v>58</v>
      </c>
      <c r="H82" s="2" t="s">
        <v>59</v>
      </c>
      <c r="I82" s="3" t="n">
        <f aca="false">ROUND(AVERAGE(M82:P82),0)</f>
        <v>4</v>
      </c>
      <c r="J82" s="3" t="n">
        <v>20</v>
      </c>
      <c r="K82" s="2" t="s">
        <v>41</v>
      </c>
      <c r="L82" s="2"/>
      <c r="M82" s="4" t="n">
        <v>4</v>
      </c>
      <c r="N82" s="4" t="n">
        <v>2</v>
      </c>
      <c r="O82" s="4" t="n">
        <v>4</v>
      </c>
      <c r="P82" s="4" t="n">
        <v>4</v>
      </c>
      <c r="Q82" s="2"/>
      <c r="R82" s="2" t="s">
        <v>41</v>
      </c>
      <c r="S82" s="2" t="s">
        <v>529</v>
      </c>
      <c r="T82" s="2" t="s">
        <v>34</v>
      </c>
      <c r="U82" s="2" t="s">
        <v>530</v>
      </c>
      <c r="V82" s="2" t="s">
        <v>531</v>
      </c>
    </row>
    <row r="83" customFormat="false" ht="23.85" hidden="false" customHeight="false" outlineLevel="0" collapsed="false">
      <c r="A83" s="2" t="s">
        <v>532</v>
      </c>
      <c r="B83" s="2" t="s">
        <v>533</v>
      </c>
      <c r="C83" s="2" t="s">
        <v>534</v>
      </c>
      <c r="D83" s="2" t="s">
        <v>457</v>
      </c>
      <c r="E83" s="2"/>
      <c r="F83" s="2" t="s">
        <v>458</v>
      </c>
      <c r="G83" s="2" t="s">
        <v>316</v>
      </c>
      <c r="H83" s="2" t="s">
        <v>59</v>
      </c>
      <c r="I83" s="3" t="n">
        <f aca="false">ROUND(AVERAGE(M83:P83),0)</f>
        <v>3</v>
      </c>
      <c r="J83" s="3" t="n">
        <v>20</v>
      </c>
      <c r="K83" s="2" t="s">
        <v>41</v>
      </c>
      <c r="L83" s="2"/>
      <c r="M83" s="4" t="n">
        <v>3</v>
      </c>
      <c r="N83" s="4" t="n">
        <v>2</v>
      </c>
      <c r="O83" s="4" t="n">
        <v>4</v>
      </c>
      <c r="P83" s="4" t="n">
        <v>3</v>
      </c>
      <c r="Q83" s="2"/>
      <c r="R83" s="2" t="s">
        <v>30</v>
      </c>
      <c r="S83" s="2" t="s">
        <v>535</v>
      </c>
      <c r="T83" s="2" t="s">
        <v>177</v>
      </c>
      <c r="U83" s="2" t="s">
        <v>178</v>
      </c>
      <c r="V83" s="2" t="s">
        <v>536</v>
      </c>
    </row>
    <row r="84" customFormat="false" ht="23.85" hidden="false" customHeight="false" outlineLevel="0" collapsed="false">
      <c r="A84" s="2" t="s">
        <v>537</v>
      </c>
      <c r="B84" s="2" t="s">
        <v>538</v>
      </c>
      <c r="C84" s="2" t="s">
        <v>539</v>
      </c>
      <c r="D84" s="2" t="s">
        <v>457</v>
      </c>
      <c r="E84" s="2"/>
      <c r="F84" s="2" t="s">
        <v>458</v>
      </c>
      <c r="G84" s="2" t="s">
        <v>28</v>
      </c>
      <c r="H84" s="2" t="s">
        <v>29</v>
      </c>
      <c r="I84" s="3" t="n">
        <f aca="false">ROUND(AVERAGE(M84:P84),0)</f>
        <v>3</v>
      </c>
      <c r="J84" s="3" t="n">
        <v>15</v>
      </c>
      <c r="K84" s="2" t="s">
        <v>41</v>
      </c>
      <c r="L84" s="2"/>
      <c r="M84" s="4" t="n">
        <v>3</v>
      </c>
      <c r="N84" s="4" t="n">
        <v>3</v>
      </c>
      <c r="O84" s="4" t="n">
        <v>3</v>
      </c>
      <c r="P84" s="4" t="n">
        <v>4</v>
      </c>
      <c r="Q84" s="2" t="s">
        <v>32</v>
      </c>
      <c r="R84" s="2" t="s">
        <v>30</v>
      </c>
      <c r="S84" s="2" t="s">
        <v>540</v>
      </c>
      <c r="T84" s="2" t="s">
        <v>273</v>
      </c>
      <c r="U84" s="2" t="s">
        <v>281</v>
      </c>
      <c r="V84" s="2" t="s">
        <v>541</v>
      </c>
    </row>
    <row r="85" customFormat="false" ht="23.85" hidden="false" customHeight="false" outlineLevel="0" collapsed="false">
      <c r="A85" s="2" t="s">
        <v>542</v>
      </c>
      <c r="B85" s="2" t="s">
        <v>543</v>
      </c>
      <c r="C85" s="2" t="s">
        <v>544</v>
      </c>
      <c r="D85" s="2" t="s">
        <v>457</v>
      </c>
      <c r="E85" s="2"/>
      <c r="F85" s="2" t="s">
        <v>458</v>
      </c>
      <c r="G85" s="2" t="s">
        <v>58</v>
      </c>
      <c r="H85" s="2" t="s">
        <v>29</v>
      </c>
      <c r="I85" s="3" t="n">
        <f aca="false">ROUND(AVERAGE(M85:P85),0)</f>
        <v>3</v>
      </c>
      <c r="J85" s="3" t="n">
        <v>30</v>
      </c>
      <c r="K85" s="2" t="s">
        <v>41</v>
      </c>
      <c r="L85" s="2"/>
      <c r="M85" s="4" t="n">
        <v>3</v>
      </c>
      <c r="N85" s="4" t="n">
        <v>4</v>
      </c>
      <c r="O85" s="4" t="n">
        <v>2</v>
      </c>
      <c r="P85" s="4" t="n">
        <v>4</v>
      </c>
      <c r="Q85" s="2" t="s">
        <v>545</v>
      </c>
      <c r="R85" s="2" t="s">
        <v>41</v>
      </c>
      <c r="S85" s="2" t="s">
        <v>546</v>
      </c>
      <c r="T85" s="2" t="s">
        <v>547</v>
      </c>
      <c r="U85" s="2" t="s">
        <v>548</v>
      </c>
      <c r="V85" s="2" t="s">
        <v>549</v>
      </c>
    </row>
    <row r="86" customFormat="false" ht="23.85" hidden="false" customHeight="false" outlineLevel="0" collapsed="false">
      <c r="A86" s="2" t="s">
        <v>550</v>
      </c>
      <c r="B86" s="2" t="s">
        <v>551</v>
      </c>
      <c r="C86" s="2" t="s">
        <v>552</v>
      </c>
      <c r="D86" s="2" t="s">
        <v>553</v>
      </c>
      <c r="E86" s="2" t="s">
        <v>554</v>
      </c>
      <c r="F86" s="2" t="s">
        <v>458</v>
      </c>
      <c r="G86" s="2" t="s">
        <v>58</v>
      </c>
      <c r="H86" s="2" t="s">
        <v>59</v>
      </c>
      <c r="I86" s="3" t="n">
        <f aca="false">ROUND(AVERAGE(M86:P86),0)</f>
        <v>4</v>
      </c>
      <c r="J86" s="3" t="n">
        <v>3</v>
      </c>
      <c r="K86" s="2" t="s">
        <v>41</v>
      </c>
      <c r="L86" s="2" t="s">
        <v>555</v>
      </c>
      <c r="M86" s="4" t="n">
        <v>4</v>
      </c>
      <c r="N86" s="4" t="n">
        <v>2</v>
      </c>
      <c r="O86" s="4" t="n">
        <v>5</v>
      </c>
      <c r="P86" s="4" t="n">
        <v>3</v>
      </c>
      <c r="Q86" s="2"/>
      <c r="R86" s="2" t="s">
        <v>30</v>
      </c>
      <c r="S86" s="2" t="s">
        <v>556</v>
      </c>
      <c r="T86" s="2" t="s">
        <v>273</v>
      </c>
      <c r="U86" s="2" t="s">
        <v>557</v>
      </c>
      <c r="V86" s="2" t="s">
        <v>558</v>
      </c>
    </row>
    <row r="87" customFormat="false" ht="23.85" hidden="false" customHeight="false" outlineLevel="0" collapsed="false">
      <c r="A87" s="2" t="s">
        <v>559</v>
      </c>
      <c r="B87" s="2" t="s">
        <v>560</v>
      </c>
      <c r="C87" s="2" t="s">
        <v>561</v>
      </c>
      <c r="D87" s="2" t="s">
        <v>553</v>
      </c>
      <c r="E87" s="2" t="s">
        <v>554</v>
      </c>
      <c r="F87" s="2" t="s">
        <v>458</v>
      </c>
      <c r="G87" s="2" t="s">
        <v>125</v>
      </c>
      <c r="H87" s="2" t="s">
        <v>29</v>
      </c>
      <c r="I87" s="3" t="n">
        <f aca="false">ROUND(AVERAGE(M87:P87),0)</f>
        <v>4</v>
      </c>
      <c r="J87" s="3" t="n">
        <v>10</v>
      </c>
      <c r="K87" s="2" t="s">
        <v>30</v>
      </c>
      <c r="L87" s="2"/>
      <c r="M87" s="4" t="n">
        <v>5</v>
      </c>
      <c r="N87" s="4" t="n">
        <v>3</v>
      </c>
      <c r="O87" s="4" t="n">
        <v>4</v>
      </c>
      <c r="P87" s="4" t="n">
        <v>3</v>
      </c>
      <c r="Q87" s="2"/>
      <c r="R87" s="2" t="s">
        <v>41</v>
      </c>
      <c r="S87" s="2" t="s">
        <v>562</v>
      </c>
      <c r="T87" s="2" t="s">
        <v>34</v>
      </c>
      <c r="U87" s="2" t="s">
        <v>104</v>
      </c>
      <c r="V87" s="2" t="s">
        <v>563</v>
      </c>
    </row>
    <row r="88" customFormat="false" ht="23.85" hidden="false" customHeight="false" outlineLevel="0" collapsed="false">
      <c r="A88" s="2" t="s">
        <v>564</v>
      </c>
      <c r="B88" s="2" t="s">
        <v>565</v>
      </c>
      <c r="C88" s="2" t="s">
        <v>566</v>
      </c>
      <c r="D88" s="2" t="s">
        <v>553</v>
      </c>
      <c r="E88" s="2" t="s">
        <v>554</v>
      </c>
      <c r="F88" s="2" t="s">
        <v>458</v>
      </c>
      <c r="G88" s="2" t="s">
        <v>28</v>
      </c>
      <c r="H88" s="2" t="s">
        <v>29</v>
      </c>
      <c r="I88" s="3" t="n">
        <f aca="false">ROUND(AVERAGE(M88:P88),0)</f>
        <v>3</v>
      </c>
      <c r="J88" s="3" t="n">
        <v>2</v>
      </c>
      <c r="K88" s="2" t="s">
        <v>30</v>
      </c>
      <c r="L88" s="2" t="s">
        <v>567</v>
      </c>
      <c r="M88" s="4" t="n">
        <v>5</v>
      </c>
      <c r="N88" s="4" t="n">
        <v>3</v>
      </c>
      <c r="O88" s="4" t="n">
        <v>2</v>
      </c>
      <c r="P88" s="4" t="n">
        <v>3</v>
      </c>
      <c r="Q88" s="2"/>
      <c r="R88" s="2" t="s">
        <v>30</v>
      </c>
      <c r="S88" s="2" t="s">
        <v>568</v>
      </c>
      <c r="T88" s="2" t="s">
        <v>34</v>
      </c>
      <c r="U88" s="2" t="s">
        <v>35</v>
      </c>
      <c r="V88" s="2" t="s">
        <v>441</v>
      </c>
    </row>
    <row r="89" customFormat="false" ht="23.85" hidden="false" customHeight="false" outlineLevel="0" collapsed="false">
      <c r="A89" s="2" t="s">
        <v>569</v>
      </c>
      <c r="B89" s="2" t="s">
        <v>570</v>
      </c>
      <c r="C89" s="2" t="s">
        <v>571</v>
      </c>
      <c r="D89" s="2" t="s">
        <v>553</v>
      </c>
      <c r="E89" s="2" t="s">
        <v>572</v>
      </c>
      <c r="F89" s="2" t="s">
        <v>458</v>
      </c>
      <c r="G89" s="2" t="s">
        <v>28</v>
      </c>
      <c r="H89" s="2" t="s">
        <v>217</v>
      </c>
      <c r="I89" s="3" t="n">
        <f aca="false">ROUND(AVERAGE(M89:P89),0)</f>
        <v>3</v>
      </c>
      <c r="J89" s="3" t="n">
        <v>1</v>
      </c>
      <c r="K89" s="2" t="s">
        <v>30</v>
      </c>
      <c r="L89" s="2" t="s">
        <v>573</v>
      </c>
      <c r="M89" s="4" t="n">
        <v>5</v>
      </c>
      <c r="N89" s="4" t="n">
        <v>4</v>
      </c>
      <c r="O89" s="4" t="n">
        <v>2</v>
      </c>
      <c r="P89" s="4" t="n">
        <v>2</v>
      </c>
      <c r="Q89" s="2"/>
      <c r="R89" s="2" t="s">
        <v>30</v>
      </c>
      <c r="S89" s="2" t="s">
        <v>574</v>
      </c>
      <c r="T89" s="2" t="s">
        <v>52</v>
      </c>
      <c r="U89" s="2" t="s">
        <v>400</v>
      </c>
      <c r="V89" s="2" t="s">
        <v>575</v>
      </c>
    </row>
    <row r="90" customFormat="false" ht="23.85" hidden="false" customHeight="false" outlineLevel="0" collapsed="false">
      <c r="A90" s="2" t="s">
        <v>576</v>
      </c>
      <c r="B90" s="2" t="s">
        <v>577</v>
      </c>
      <c r="C90" s="2" t="s">
        <v>578</v>
      </c>
      <c r="D90" s="2" t="s">
        <v>553</v>
      </c>
      <c r="E90" s="2" t="s">
        <v>572</v>
      </c>
      <c r="F90" s="2" t="s">
        <v>458</v>
      </c>
      <c r="G90" s="2" t="s">
        <v>28</v>
      </c>
      <c r="H90" s="2" t="s">
        <v>29</v>
      </c>
      <c r="I90" s="3" t="n">
        <f aca="false">ROUND(AVERAGE(M90:P90),0)</f>
        <v>4</v>
      </c>
      <c r="J90" s="3" t="n">
        <v>10</v>
      </c>
      <c r="K90" s="2" t="s">
        <v>30</v>
      </c>
      <c r="L90" s="2"/>
      <c r="M90" s="4" t="n">
        <v>5</v>
      </c>
      <c r="N90" s="4" t="n">
        <v>4</v>
      </c>
      <c r="O90" s="4" t="n">
        <v>3</v>
      </c>
      <c r="P90" s="4" t="n">
        <v>2</v>
      </c>
      <c r="Q90" s="2"/>
      <c r="R90" s="2" t="s">
        <v>30</v>
      </c>
      <c r="S90" s="2" t="s">
        <v>579</v>
      </c>
      <c r="T90" s="2" t="s">
        <v>52</v>
      </c>
      <c r="U90" s="2" t="s">
        <v>400</v>
      </c>
      <c r="V90" s="2" t="s">
        <v>580</v>
      </c>
    </row>
    <row r="91" customFormat="false" ht="23.85" hidden="false" customHeight="false" outlineLevel="0" collapsed="false">
      <c r="A91" s="2" t="s">
        <v>581</v>
      </c>
      <c r="B91" s="2" t="s">
        <v>582</v>
      </c>
      <c r="C91" s="2" t="s">
        <v>583</v>
      </c>
      <c r="D91" s="2" t="s">
        <v>553</v>
      </c>
      <c r="E91" s="2" t="s">
        <v>572</v>
      </c>
      <c r="F91" s="2" t="s">
        <v>458</v>
      </c>
      <c r="G91" s="2" t="s">
        <v>163</v>
      </c>
      <c r="H91" s="2" t="s">
        <v>29</v>
      </c>
      <c r="I91" s="3" t="n">
        <f aca="false">ROUND(AVERAGE(M91:P91),0)</f>
        <v>3</v>
      </c>
      <c r="J91" s="3" t="n">
        <v>5</v>
      </c>
      <c r="K91" s="2" t="s">
        <v>30</v>
      </c>
      <c r="L91" s="2" t="s">
        <v>584</v>
      </c>
      <c r="M91" s="4" t="n">
        <v>5</v>
      </c>
      <c r="N91" s="4" t="n">
        <v>3</v>
      </c>
      <c r="O91" s="4" t="n">
        <v>2</v>
      </c>
      <c r="P91" s="4" t="n">
        <v>2</v>
      </c>
      <c r="Q91" s="2"/>
      <c r="R91" s="2" t="s">
        <v>30</v>
      </c>
      <c r="S91" s="2" t="s">
        <v>585</v>
      </c>
      <c r="T91" s="2" t="s">
        <v>34</v>
      </c>
      <c r="U91" s="2" t="s">
        <v>586</v>
      </c>
      <c r="V91" s="2" t="s">
        <v>587</v>
      </c>
    </row>
    <row r="92" customFormat="false" ht="23.85" hidden="false" customHeight="false" outlineLevel="0" collapsed="false">
      <c r="A92" s="2" t="s">
        <v>588</v>
      </c>
      <c r="B92" s="2" t="s">
        <v>589</v>
      </c>
      <c r="C92" s="2" t="s">
        <v>590</v>
      </c>
      <c r="D92" s="2" t="s">
        <v>553</v>
      </c>
      <c r="E92" s="2" t="s">
        <v>572</v>
      </c>
      <c r="F92" s="2" t="s">
        <v>458</v>
      </c>
      <c r="G92" s="2" t="s">
        <v>28</v>
      </c>
      <c r="H92" s="2" t="s">
        <v>29</v>
      </c>
      <c r="I92" s="3" t="n">
        <f aca="false">ROUND(AVERAGE(M92:P92),0)</f>
        <v>3</v>
      </c>
      <c r="J92" s="3" t="n">
        <v>5</v>
      </c>
      <c r="K92" s="2" t="s">
        <v>30</v>
      </c>
      <c r="L92" s="2" t="s">
        <v>591</v>
      </c>
      <c r="M92" s="4" t="n">
        <v>5</v>
      </c>
      <c r="N92" s="4" t="n">
        <v>2</v>
      </c>
      <c r="O92" s="4" t="n">
        <v>3</v>
      </c>
      <c r="P92" s="4" t="n">
        <v>2</v>
      </c>
      <c r="Q92" s="2"/>
      <c r="R92" s="2" t="s">
        <v>30</v>
      </c>
      <c r="S92" s="2" t="s">
        <v>592</v>
      </c>
      <c r="T92" s="2" t="s">
        <v>52</v>
      </c>
      <c r="U92" s="2" t="s">
        <v>400</v>
      </c>
      <c r="V92" s="2" t="s">
        <v>593</v>
      </c>
    </row>
    <row r="93" customFormat="false" ht="23.85" hidden="false" customHeight="false" outlineLevel="0" collapsed="false">
      <c r="A93" s="2" t="s">
        <v>594</v>
      </c>
      <c r="B93" s="2" t="s">
        <v>595</v>
      </c>
      <c r="C93" s="2" t="s">
        <v>596</v>
      </c>
      <c r="D93" s="2" t="s">
        <v>553</v>
      </c>
      <c r="E93" s="2" t="s">
        <v>572</v>
      </c>
      <c r="F93" s="2" t="s">
        <v>458</v>
      </c>
      <c r="G93" s="2" t="s">
        <v>28</v>
      </c>
      <c r="H93" s="2" t="s">
        <v>29</v>
      </c>
      <c r="I93" s="3" t="n">
        <f aca="false">ROUND(AVERAGE(M93:P93),0)</f>
        <v>3</v>
      </c>
      <c r="J93" s="3" t="n">
        <v>5</v>
      </c>
      <c r="K93" s="2" t="s">
        <v>30</v>
      </c>
      <c r="L93" s="2"/>
      <c r="M93" s="4" t="n">
        <v>4</v>
      </c>
      <c r="N93" s="4" t="n">
        <v>4</v>
      </c>
      <c r="O93" s="4" t="n">
        <v>2</v>
      </c>
      <c r="P93" s="4" t="n">
        <v>2</v>
      </c>
      <c r="Q93" s="2"/>
      <c r="R93" s="2" t="s">
        <v>30</v>
      </c>
      <c r="S93" s="2" t="s">
        <v>597</v>
      </c>
      <c r="T93" s="2" t="s">
        <v>52</v>
      </c>
      <c r="U93" s="2" t="s">
        <v>400</v>
      </c>
      <c r="V93" s="2" t="s">
        <v>598</v>
      </c>
    </row>
    <row r="94" customFormat="false" ht="23.85" hidden="false" customHeight="false" outlineLevel="0" collapsed="false">
      <c r="A94" s="2" t="s">
        <v>599</v>
      </c>
      <c r="B94" s="2" t="s">
        <v>600</v>
      </c>
      <c r="C94" s="2" t="s">
        <v>601</v>
      </c>
      <c r="D94" s="2" t="s">
        <v>553</v>
      </c>
      <c r="E94" s="2" t="s">
        <v>572</v>
      </c>
      <c r="F94" s="2" t="s">
        <v>458</v>
      </c>
      <c r="G94" s="2" t="s">
        <v>163</v>
      </c>
      <c r="H94" s="2" t="s">
        <v>29</v>
      </c>
      <c r="I94" s="3" t="n">
        <f aca="false">ROUND(AVERAGE(M94:P94),0)</f>
        <v>3</v>
      </c>
      <c r="J94" s="3" t="n">
        <v>5</v>
      </c>
      <c r="K94" s="2" t="s">
        <v>30</v>
      </c>
      <c r="L94" s="2"/>
      <c r="M94" s="4" t="n">
        <v>4</v>
      </c>
      <c r="N94" s="4" t="n">
        <v>4</v>
      </c>
      <c r="O94" s="4" t="n">
        <v>2</v>
      </c>
      <c r="P94" s="4" t="n">
        <v>3</v>
      </c>
      <c r="Q94" s="2"/>
      <c r="R94" s="2" t="s">
        <v>30</v>
      </c>
      <c r="S94" s="2" t="s">
        <v>602</v>
      </c>
      <c r="T94" s="2" t="s">
        <v>34</v>
      </c>
      <c r="U94" s="2" t="s">
        <v>586</v>
      </c>
      <c r="V94" s="2" t="s">
        <v>603</v>
      </c>
    </row>
    <row r="95" customFormat="false" ht="23.85" hidden="false" customHeight="false" outlineLevel="0" collapsed="false">
      <c r="A95" s="2" t="s">
        <v>604</v>
      </c>
      <c r="B95" s="2" t="s">
        <v>605</v>
      </c>
      <c r="C95" s="2" t="s">
        <v>606</v>
      </c>
      <c r="D95" s="2" t="s">
        <v>553</v>
      </c>
      <c r="E95" s="2" t="s">
        <v>572</v>
      </c>
      <c r="F95" s="2" t="s">
        <v>458</v>
      </c>
      <c r="G95" s="2" t="s">
        <v>163</v>
      </c>
      <c r="H95" s="2" t="s">
        <v>29</v>
      </c>
      <c r="I95" s="3" t="n">
        <f aca="false">ROUND(AVERAGE(M95:P95),0)</f>
        <v>3</v>
      </c>
      <c r="J95" s="3" t="n">
        <v>10</v>
      </c>
      <c r="K95" s="2" t="s">
        <v>41</v>
      </c>
      <c r="L95" s="2"/>
      <c r="M95" s="4" t="n">
        <v>4</v>
      </c>
      <c r="N95" s="4" t="n">
        <v>4</v>
      </c>
      <c r="O95" s="4" t="n">
        <v>2</v>
      </c>
      <c r="P95" s="4" t="n">
        <v>2</v>
      </c>
      <c r="Q95" s="2"/>
      <c r="R95" s="2" t="s">
        <v>30</v>
      </c>
      <c r="S95" s="2" t="s">
        <v>607</v>
      </c>
      <c r="T95" s="2" t="s">
        <v>273</v>
      </c>
      <c r="U95" s="2" t="s">
        <v>608</v>
      </c>
      <c r="V95" s="2" t="s">
        <v>609</v>
      </c>
    </row>
    <row r="96" customFormat="false" ht="23.85" hidden="false" customHeight="false" outlineLevel="0" collapsed="false">
      <c r="A96" s="2" t="s">
        <v>610</v>
      </c>
      <c r="B96" s="2" t="s">
        <v>611</v>
      </c>
      <c r="C96" s="2" t="s">
        <v>612</v>
      </c>
      <c r="D96" s="2" t="s">
        <v>553</v>
      </c>
      <c r="E96" s="2" t="s">
        <v>554</v>
      </c>
      <c r="F96" s="2" t="s">
        <v>458</v>
      </c>
      <c r="G96" s="2" t="s">
        <v>58</v>
      </c>
      <c r="H96" s="2" t="s">
        <v>59</v>
      </c>
      <c r="I96" s="3" t="n">
        <f aca="false">ROUND(AVERAGE(M96:P96),0)</f>
        <v>3</v>
      </c>
      <c r="J96" s="3" t="n">
        <v>2</v>
      </c>
      <c r="K96" s="2" t="s">
        <v>41</v>
      </c>
      <c r="L96" s="2" t="s">
        <v>145</v>
      </c>
      <c r="M96" s="4" t="n">
        <v>5</v>
      </c>
      <c r="N96" s="4" t="n">
        <v>2</v>
      </c>
      <c r="O96" s="4" t="n">
        <v>3</v>
      </c>
      <c r="P96" s="4" t="n">
        <v>3</v>
      </c>
      <c r="Q96" s="2"/>
      <c r="R96" s="2" t="s">
        <v>30</v>
      </c>
      <c r="S96" s="2" t="s">
        <v>613</v>
      </c>
      <c r="T96" s="2" t="s">
        <v>34</v>
      </c>
      <c r="U96" s="2" t="s">
        <v>35</v>
      </c>
      <c r="V96" s="2" t="s">
        <v>614</v>
      </c>
    </row>
    <row r="97" customFormat="false" ht="23.85" hidden="false" customHeight="false" outlineLevel="0" collapsed="false">
      <c r="A97" s="2" t="s">
        <v>615</v>
      </c>
      <c r="B97" s="2" t="s">
        <v>616</v>
      </c>
      <c r="C97" s="2" t="s">
        <v>617</v>
      </c>
      <c r="D97" s="2" t="s">
        <v>553</v>
      </c>
      <c r="E97" s="2" t="s">
        <v>572</v>
      </c>
      <c r="F97" s="2" t="s">
        <v>458</v>
      </c>
      <c r="G97" s="2" t="s">
        <v>28</v>
      </c>
      <c r="H97" s="2" t="s">
        <v>217</v>
      </c>
      <c r="I97" s="3" t="n">
        <f aca="false">ROUND(AVERAGE(M97:P97),0)</f>
        <v>3</v>
      </c>
      <c r="J97" s="3" t="n">
        <v>1</v>
      </c>
      <c r="K97" s="2" t="s">
        <v>30</v>
      </c>
      <c r="L97" s="2" t="s">
        <v>618</v>
      </c>
      <c r="M97" s="4" t="n">
        <v>5</v>
      </c>
      <c r="N97" s="4" t="n">
        <v>2</v>
      </c>
      <c r="O97" s="4" t="n">
        <v>2</v>
      </c>
      <c r="P97" s="4" t="n">
        <v>1</v>
      </c>
      <c r="Q97" s="2"/>
      <c r="R97" s="2" t="s">
        <v>30</v>
      </c>
      <c r="S97" s="2" t="s">
        <v>619</v>
      </c>
      <c r="T97" s="2" t="s">
        <v>34</v>
      </c>
      <c r="U97" s="2" t="s">
        <v>35</v>
      </c>
      <c r="V97" s="2" t="s">
        <v>620</v>
      </c>
    </row>
    <row r="98" customFormat="false" ht="23.85" hidden="false" customHeight="false" outlineLevel="0" collapsed="false">
      <c r="A98" s="2" t="s">
        <v>621</v>
      </c>
      <c r="B98" s="2" t="s">
        <v>622</v>
      </c>
      <c r="C98" s="2" t="s">
        <v>623</v>
      </c>
      <c r="D98" s="2" t="s">
        <v>553</v>
      </c>
      <c r="E98" s="2" t="s">
        <v>572</v>
      </c>
      <c r="F98" s="2" t="s">
        <v>458</v>
      </c>
      <c r="G98" s="2" t="s">
        <v>125</v>
      </c>
      <c r="H98" s="2" t="s">
        <v>29</v>
      </c>
      <c r="I98" s="3" t="n">
        <f aca="false">ROUND(AVERAGE(M98:P98),0)</f>
        <v>3</v>
      </c>
      <c r="J98" s="3" t="n">
        <v>15</v>
      </c>
      <c r="K98" s="2" t="s">
        <v>30</v>
      </c>
      <c r="L98" s="2"/>
      <c r="M98" s="4" t="n">
        <v>3</v>
      </c>
      <c r="N98" s="4" t="n">
        <v>5</v>
      </c>
      <c r="O98" s="4" t="n">
        <v>2</v>
      </c>
      <c r="P98" s="4" t="n">
        <v>3</v>
      </c>
      <c r="Q98" s="2"/>
      <c r="R98" s="2" t="s">
        <v>30</v>
      </c>
      <c r="S98" s="2" t="s">
        <v>624</v>
      </c>
      <c r="T98" s="2" t="s">
        <v>34</v>
      </c>
      <c r="U98" s="2" t="s">
        <v>45</v>
      </c>
      <c r="V98" s="2" t="s">
        <v>625</v>
      </c>
    </row>
    <row r="99" customFormat="false" ht="35.05" hidden="false" customHeight="false" outlineLevel="0" collapsed="false">
      <c r="A99" s="2" t="s">
        <v>626</v>
      </c>
      <c r="B99" s="2" t="s">
        <v>627</v>
      </c>
      <c r="C99" s="2" t="s">
        <v>628</v>
      </c>
      <c r="D99" s="2" t="s">
        <v>553</v>
      </c>
      <c r="E99" s="2" t="s">
        <v>554</v>
      </c>
      <c r="F99" s="2" t="s">
        <v>458</v>
      </c>
      <c r="G99" s="2" t="s">
        <v>58</v>
      </c>
      <c r="H99" s="2" t="s">
        <v>59</v>
      </c>
      <c r="I99" s="3" t="n">
        <f aca="false">ROUND(AVERAGE(M99:P99),0)</f>
        <v>3</v>
      </c>
      <c r="J99" s="3" t="n">
        <v>5</v>
      </c>
      <c r="K99" s="2" t="s">
        <v>41</v>
      </c>
      <c r="L99" s="2" t="s">
        <v>555</v>
      </c>
      <c r="M99" s="4" t="n">
        <v>3</v>
      </c>
      <c r="N99" s="4" t="n">
        <v>2</v>
      </c>
      <c r="O99" s="4" t="n">
        <v>4</v>
      </c>
      <c r="P99" s="4" t="n">
        <v>3</v>
      </c>
      <c r="Q99" s="2" t="s">
        <v>629</v>
      </c>
      <c r="R99" s="2" t="s">
        <v>30</v>
      </c>
      <c r="S99" s="2" t="s">
        <v>630</v>
      </c>
      <c r="T99" s="2" t="s">
        <v>273</v>
      </c>
      <c r="U99" s="2" t="s">
        <v>557</v>
      </c>
      <c r="V99" s="2" t="s">
        <v>631</v>
      </c>
    </row>
    <row r="100" customFormat="false" ht="23.85" hidden="false" customHeight="false" outlineLevel="0" collapsed="false">
      <c r="A100" s="2" t="s">
        <v>632</v>
      </c>
      <c r="B100" s="2" t="s">
        <v>633</v>
      </c>
      <c r="C100" s="2" t="s">
        <v>634</v>
      </c>
      <c r="D100" s="2" t="s">
        <v>553</v>
      </c>
      <c r="E100" s="2" t="s">
        <v>572</v>
      </c>
      <c r="F100" s="2" t="s">
        <v>458</v>
      </c>
      <c r="G100" s="2" t="s">
        <v>28</v>
      </c>
      <c r="H100" s="2" t="s">
        <v>29</v>
      </c>
      <c r="I100" s="3" t="n">
        <f aca="false">ROUND(AVERAGE(M100:P100),0)</f>
        <v>4</v>
      </c>
      <c r="J100" s="3" t="n">
        <v>5</v>
      </c>
      <c r="K100" s="2" t="s">
        <v>30</v>
      </c>
      <c r="L100" s="2"/>
      <c r="M100" s="4" t="n">
        <v>5</v>
      </c>
      <c r="N100" s="4" t="n">
        <v>4</v>
      </c>
      <c r="O100" s="4" t="n">
        <v>2</v>
      </c>
      <c r="P100" s="4" t="n">
        <v>3</v>
      </c>
      <c r="Q100" s="2"/>
      <c r="R100" s="2" t="s">
        <v>30</v>
      </c>
      <c r="S100" s="2" t="s">
        <v>635</v>
      </c>
      <c r="T100" s="2" t="s">
        <v>52</v>
      </c>
      <c r="U100" s="2" t="s">
        <v>400</v>
      </c>
      <c r="V100" s="2" t="s">
        <v>636</v>
      </c>
    </row>
    <row r="101" customFormat="false" ht="23.85" hidden="false" customHeight="false" outlineLevel="0" collapsed="false">
      <c r="A101" s="2" t="s">
        <v>637</v>
      </c>
      <c r="B101" s="2" t="s">
        <v>638</v>
      </c>
      <c r="C101" s="2" t="s">
        <v>639</v>
      </c>
      <c r="D101" s="2" t="s">
        <v>553</v>
      </c>
      <c r="E101" s="2" t="s">
        <v>572</v>
      </c>
      <c r="F101" s="2" t="s">
        <v>458</v>
      </c>
      <c r="G101" s="2" t="s">
        <v>28</v>
      </c>
      <c r="H101" s="2" t="s">
        <v>29</v>
      </c>
      <c r="I101" s="3" t="n">
        <f aca="false">ROUND(AVERAGE(M101:P101),0)</f>
        <v>3</v>
      </c>
      <c r="J101" s="3" t="n">
        <v>10</v>
      </c>
      <c r="K101" s="2" t="s">
        <v>30</v>
      </c>
      <c r="L101" s="2"/>
      <c r="M101" s="4" t="n">
        <v>5</v>
      </c>
      <c r="N101" s="4" t="n">
        <v>3</v>
      </c>
      <c r="O101" s="4" t="n">
        <v>2</v>
      </c>
      <c r="P101" s="4" t="n">
        <v>2</v>
      </c>
      <c r="Q101" s="2"/>
      <c r="R101" s="2" t="s">
        <v>30</v>
      </c>
      <c r="S101" s="2" t="s">
        <v>640</v>
      </c>
      <c r="T101" s="2" t="s">
        <v>52</v>
      </c>
      <c r="U101" s="2" t="s">
        <v>400</v>
      </c>
      <c r="V101" s="2" t="s">
        <v>641</v>
      </c>
    </row>
    <row r="102" customFormat="false" ht="23.85" hidden="false" customHeight="false" outlineLevel="0" collapsed="false">
      <c r="A102" s="2" t="s">
        <v>642</v>
      </c>
      <c r="B102" s="2" t="s">
        <v>643</v>
      </c>
      <c r="C102" s="2" t="s">
        <v>644</v>
      </c>
      <c r="D102" s="2" t="s">
        <v>553</v>
      </c>
      <c r="E102" s="2" t="s">
        <v>572</v>
      </c>
      <c r="F102" s="2" t="s">
        <v>458</v>
      </c>
      <c r="G102" s="2" t="s">
        <v>28</v>
      </c>
      <c r="H102" s="2" t="s">
        <v>29</v>
      </c>
      <c r="I102" s="3" t="n">
        <f aca="false">ROUND(AVERAGE(M102:P102),0)</f>
        <v>4</v>
      </c>
      <c r="J102" s="3" t="n">
        <v>5</v>
      </c>
      <c r="K102" s="2" t="s">
        <v>30</v>
      </c>
      <c r="L102" s="2" t="s">
        <v>645</v>
      </c>
      <c r="M102" s="4" t="n">
        <v>5</v>
      </c>
      <c r="N102" s="4" t="n">
        <v>3</v>
      </c>
      <c r="O102" s="4" t="n">
        <v>4</v>
      </c>
      <c r="P102" s="4" t="n">
        <v>2</v>
      </c>
      <c r="Q102" s="2"/>
      <c r="R102" s="2" t="s">
        <v>30</v>
      </c>
      <c r="S102" s="2" t="s">
        <v>646</v>
      </c>
      <c r="T102" s="2" t="s">
        <v>52</v>
      </c>
      <c r="U102" s="2" t="s">
        <v>400</v>
      </c>
      <c r="V102" s="2" t="s">
        <v>647</v>
      </c>
    </row>
    <row r="103" customFormat="false" ht="23.85" hidden="false" customHeight="false" outlineLevel="0" collapsed="false">
      <c r="A103" s="2" t="s">
        <v>648</v>
      </c>
      <c r="B103" s="2" t="s">
        <v>649</v>
      </c>
      <c r="C103" s="2" t="s">
        <v>650</v>
      </c>
      <c r="D103" s="2" t="s">
        <v>553</v>
      </c>
      <c r="E103" s="2" t="s">
        <v>572</v>
      </c>
      <c r="F103" s="2" t="s">
        <v>458</v>
      </c>
      <c r="G103" s="2" t="s">
        <v>28</v>
      </c>
      <c r="H103" s="2" t="s">
        <v>59</v>
      </c>
      <c r="I103" s="3" t="n">
        <f aca="false">ROUND(AVERAGE(M103:P103),0)</f>
        <v>4</v>
      </c>
      <c r="J103" s="3" t="n">
        <v>2</v>
      </c>
      <c r="K103" s="2" t="s">
        <v>30</v>
      </c>
      <c r="L103" s="2" t="s">
        <v>651</v>
      </c>
      <c r="M103" s="4" t="n">
        <v>5</v>
      </c>
      <c r="N103" s="4" t="n">
        <v>4</v>
      </c>
      <c r="O103" s="4" t="n">
        <v>2</v>
      </c>
      <c r="P103" s="4" t="n">
        <v>3</v>
      </c>
      <c r="Q103" s="2"/>
      <c r="R103" s="2" t="s">
        <v>30</v>
      </c>
      <c r="S103" s="2" t="s">
        <v>652</v>
      </c>
      <c r="T103" s="2" t="s">
        <v>34</v>
      </c>
      <c r="U103" s="2" t="s">
        <v>586</v>
      </c>
      <c r="V103" s="2" t="s">
        <v>653</v>
      </c>
    </row>
    <row r="104" customFormat="false" ht="23.85" hidden="false" customHeight="false" outlineLevel="0" collapsed="false">
      <c r="A104" s="2" t="s">
        <v>654</v>
      </c>
      <c r="B104" s="2" t="s">
        <v>655</v>
      </c>
      <c r="C104" s="2" t="s">
        <v>656</v>
      </c>
      <c r="D104" s="2" t="s">
        <v>457</v>
      </c>
      <c r="E104" s="2"/>
      <c r="F104" s="2" t="s">
        <v>458</v>
      </c>
      <c r="G104" s="2" t="s">
        <v>58</v>
      </c>
      <c r="H104" s="2" t="s">
        <v>29</v>
      </c>
      <c r="I104" s="3" t="n">
        <f aca="false">ROUND(AVERAGE(M104:P104),0)</f>
        <v>3</v>
      </c>
      <c r="J104" s="3" t="n">
        <v>10</v>
      </c>
      <c r="K104" s="2" t="s">
        <v>41</v>
      </c>
      <c r="L104" s="2" t="s">
        <v>145</v>
      </c>
      <c r="M104" s="4" t="n">
        <v>3</v>
      </c>
      <c r="N104" s="4" t="n">
        <v>3</v>
      </c>
      <c r="O104" s="4" t="n">
        <v>4</v>
      </c>
      <c r="P104" s="4" t="n">
        <v>3</v>
      </c>
      <c r="Q104" s="2"/>
      <c r="R104" s="2" t="s">
        <v>30</v>
      </c>
      <c r="S104" s="2" t="s">
        <v>657</v>
      </c>
      <c r="T104" s="2" t="s">
        <v>34</v>
      </c>
      <c r="U104" s="2" t="s">
        <v>466</v>
      </c>
      <c r="V104" s="2" t="s">
        <v>658</v>
      </c>
    </row>
    <row r="105" customFormat="false" ht="23.85" hidden="false" customHeight="false" outlineLevel="0" collapsed="false">
      <c r="A105" s="2" t="s">
        <v>659</v>
      </c>
      <c r="B105" s="2" t="s">
        <v>660</v>
      </c>
      <c r="C105" s="2" t="s">
        <v>661</v>
      </c>
      <c r="D105" s="2" t="s">
        <v>25</v>
      </c>
      <c r="E105" s="2" t="s">
        <v>40</v>
      </c>
      <c r="F105" s="2" t="s">
        <v>27</v>
      </c>
      <c r="G105" s="2" t="s">
        <v>58</v>
      </c>
      <c r="H105" s="2" t="s">
        <v>29</v>
      </c>
      <c r="I105" s="3" t="n">
        <f aca="false">ROUND(AVERAGE(M105:P105),0)</f>
        <v>4</v>
      </c>
      <c r="J105" s="3" t="n">
        <v>5</v>
      </c>
      <c r="K105" s="2" t="s">
        <v>41</v>
      </c>
      <c r="L105" s="2"/>
      <c r="M105" s="4" t="n">
        <v>4</v>
      </c>
      <c r="N105" s="4" t="n">
        <v>4</v>
      </c>
      <c r="O105" s="4" t="n">
        <v>4</v>
      </c>
      <c r="P105" s="4" t="n">
        <v>4</v>
      </c>
      <c r="Q105" s="2" t="s">
        <v>629</v>
      </c>
      <c r="R105" s="2" t="s">
        <v>30</v>
      </c>
      <c r="S105" s="2" t="s">
        <v>662</v>
      </c>
      <c r="T105" s="2" t="s">
        <v>34</v>
      </c>
      <c r="U105" s="2" t="s">
        <v>663</v>
      </c>
      <c r="V105" s="2" t="s">
        <v>664</v>
      </c>
    </row>
    <row r="106" customFormat="false" ht="23.85" hidden="false" customHeight="false" outlineLevel="0" collapsed="false">
      <c r="A106" s="2" t="s">
        <v>665</v>
      </c>
      <c r="B106" s="2" t="s">
        <v>666</v>
      </c>
      <c r="C106" s="2" t="s">
        <v>667</v>
      </c>
      <c r="D106" s="2" t="s">
        <v>374</v>
      </c>
      <c r="E106" s="2"/>
      <c r="F106" s="2" t="s">
        <v>118</v>
      </c>
      <c r="G106" s="2" t="s">
        <v>28</v>
      </c>
      <c r="H106" s="2" t="s">
        <v>59</v>
      </c>
      <c r="I106" s="3" t="n">
        <f aca="false">ROUND(AVERAGE(M106:P106),0)</f>
        <v>3</v>
      </c>
      <c r="J106" s="3" t="n">
        <v>5</v>
      </c>
      <c r="K106" s="2" t="s">
        <v>30</v>
      </c>
      <c r="L106" s="2" t="s">
        <v>668</v>
      </c>
      <c r="M106" s="4" t="n">
        <v>4</v>
      </c>
      <c r="N106" s="4" t="n">
        <v>4</v>
      </c>
      <c r="O106" s="4" t="n">
        <v>3</v>
      </c>
      <c r="P106" s="4" t="n">
        <v>2</v>
      </c>
      <c r="Q106" s="2" t="s">
        <v>211</v>
      </c>
      <c r="R106" s="2" t="s">
        <v>30</v>
      </c>
      <c r="S106" s="2" t="s">
        <v>669</v>
      </c>
      <c r="T106" s="2" t="s">
        <v>273</v>
      </c>
      <c r="U106" s="2" t="s">
        <v>281</v>
      </c>
      <c r="V106" s="2" t="s">
        <v>670</v>
      </c>
    </row>
    <row r="107" customFormat="false" ht="23.85" hidden="false" customHeight="false" outlineLevel="0" collapsed="false">
      <c r="A107" s="2" t="s">
        <v>671</v>
      </c>
      <c r="B107" s="2" t="s">
        <v>672</v>
      </c>
      <c r="C107" s="2" t="s">
        <v>673</v>
      </c>
      <c r="D107" s="2" t="s">
        <v>116</v>
      </c>
      <c r="E107" s="2" t="s">
        <v>117</v>
      </c>
      <c r="F107" s="2" t="s">
        <v>118</v>
      </c>
      <c r="G107" s="2" t="s">
        <v>427</v>
      </c>
      <c r="H107" s="2" t="s">
        <v>29</v>
      </c>
      <c r="I107" s="3" t="n">
        <f aca="false">ROUND(AVERAGE(M107:P107),0)</f>
        <v>4</v>
      </c>
      <c r="J107" s="3" t="n">
        <v>5</v>
      </c>
      <c r="K107" s="2" t="s">
        <v>30</v>
      </c>
      <c r="L107" s="2" t="s">
        <v>674</v>
      </c>
      <c r="M107" s="4" t="n">
        <v>2</v>
      </c>
      <c r="N107" s="4" t="n">
        <v>4</v>
      </c>
      <c r="O107" s="4" t="n">
        <v>5</v>
      </c>
      <c r="P107" s="4" t="n">
        <v>4</v>
      </c>
      <c r="Q107" s="2" t="s">
        <v>60</v>
      </c>
      <c r="R107" s="2" t="s">
        <v>30</v>
      </c>
      <c r="S107" s="2" t="s">
        <v>675</v>
      </c>
      <c r="T107" s="2" t="s">
        <v>273</v>
      </c>
      <c r="U107" s="2" t="s">
        <v>281</v>
      </c>
      <c r="V107" s="2" t="s">
        <v>676</v>
      </c>
    </row>
    <row r="108" customFormat="false" ht="23.85" hidden="false" customHeight="false" outlineLevel="0" collapsed="false">
      <c r="A108" s="2" t="s">
        <v>677</v>
      </c>
      <c r="B108" s="2" t="s">
        <v>678</v>
      </c>
      <c r="C108" s="2" t="s">
        <v>679</v>
      </c>
      <c r="D108" s="2" t="s">
        <v>553</v>
      </c>
      <c r="E108" s="2" t="s">
        <v>554</v>
      </c>
      <c r="F108" s="2" t="s">
        <v>458</v>
      </c>
      <c r="G108" s="2" t="s">
        <v>58</v>
      </c>
      <c r="H108" s="2" t="s">
        <v>29</v>
      </c>
      <c r="I108" s="3" t="n">
        <f aca="false">ROUND(AVERAGE(M108:P108),0)</f>
        <v>3</v>
      </c>
      <c r="J108" s="3" t="n">
        <v>15</v>
      </c>
      <c r="K108" s="2" t="s">
        <v>30</v>
      </c>
      <c r="L108" s="2"/>
      <c r="M108" s="4" t="n">
        <v>4</v>
      </c>
      <c r="N108" s="4" t="n">
        <v>3</v>
      </c>
      <c r="O108" s="4" t="n">
        <v>3</v>
      </c>
      <c r="P108" s="4" t="n">
        <v>3</v>
      </c>
      <c r="Q108" s="2"/>
      <c r="R108" s="2" t="s">
        <v>41</v>
      </c>
      <c r="S108" s="2" t="s">
        <v>680</v>
      </c>
      <c r="T108" s="2" t="s">
        <v>52</v>
      </c>
      <c r="U108" s="2" t="s">
        <v>681</v>
      </c>
      <c r="V108" s="2" t="s">
        <v>682</v>
      </c>
    </row>
    <row r="109" customFormat="false" ht="35.05" hidden="false" customHeight="false" outlineLevel="0" collapsed="false">
      <c r="A109" s="2" t="s">
        <v>683</v>
      </c>
      <c r="B109" s="2" t="s">
        <v>684</v>
      </c>
      <c r="C109" s="2" t="s">
        <v>685</v>
      </c>
      <c r="D109" s="2" t="s">
        <v>457</v>
      </c>
      <c r="E109" s="2"/>
      <c r="F109" s="2" t="s">
        <v>458</v>
      </c>
      <c r="G109" s="2" t="s">
        <v>28</v>
      </c>
      <c r="H109" s="2" t="s">
        <v>29</v>
      </c>
      <c r="I109" s="3" t="n">
        <f aca="false">ROUND(AVERAGE(M109:P109),0)</f>
        <v>3</v>
      </c>
      <c r="J109" s="3" t="n">
        <v>20</v>
      </c>
      <c r="K109" s="2" t="s">
        <v>30</v>
      </c>
      <c r="L109" s="2"/>
      <c r="M109" s="4" t="n">
        <v>3</v>
      </c>
      <c r="N109" s="4" t="n">
        <v>3</v>
      </c>
      <c r="O109" s="4" t="n">
        <v>3</v>
      </c>
      <c r="P109" s="4" t="n">
        <v>3</v>
      </c>
      <c r="Q109" s="2" t="s">
        <v>545</v>
      </c>
      <c r="R109" s="2" t="s">
        <v>30</v>
      </c>
      <c r="S109" s="2" t="s">
        <v>686</v>
      </c>
      <c r="T109" s="2" t="s">
        <v>34</v>
      </c>
      <c r="U109" s="2" t="s">
        <v>530</v>
      </c>
      <c r="V109" s="2" t="s">
        <v>687</v>
      </c>
    </row>
    <row r="110" customFormat="false" ht="23.85" hidden="false" customHeight="false" outlineLevel="0" collapsed="false">
      <c r="A110" s="2" t="s">
        <v>688</v>
      </c>
      <c r="B110" s="2" t="s">
        <v>689</v>
      </c>
      <c r="C110" s="2" t="s">
        <v>690</v>
      </c>
      <c r="D110" s="2" t="s">
        <v>553</v>
      </c>
      <c r="E110" s="2" t="s">
        <v>572</v>
      </c>
      <c r="F110" s="2" t="s">
        <v>458</v>
      </c>
      <c r="G110" s="2" t="s">
        <v>28</v>
      </c>
      <c r="H110" s="2" t="s">
        <v>29</v>
      </c>
      <c r="I110" s="3" t="n">
        <f aca="false">ROUND(AVERAGE(M110:P110),0)</f>
        <v>3</v>
      </c>
      <c r="J110" s="3" t="n">
        <v>10</v>
      </c>
      <c r="K110" s="2" t="s">
        <v>30</v>
      </c>
      <c r="L110" s="2" t="s">
        <v>691</v>
      </c>
      <c r="M110" s="4" t="n">
        <v>4</v>
      </c>
      <c r="N110" s="4" t="n">
        <v>5</v>
      </c>
      <c r="O110" s="4" t="n">
        <v>2</v>
      </c>
      <c r="P110" s="4" t="n">
        <v>2</v>
      </c>
      <c r="Q110" s="2"/>
      <c r="R110" s="2" t="s">
        <v>30</v>
      </c>
      <c r="S110" s="2" t="s">
        <v>692</v>
      </c>
      <c r="T110" s="2" t="s">
        <v>693</v>
      </c>
      <c r="U110" s="2" t="s">
        <v>694</v>
      </c>
      <c r="V110" s="2" t="s">
        <v>695</v>
      </c>
    </row>
    <row r="111" customFormat="false" ht="23.85" hidden="false" customHeight="false" outlineLevel="0" collapsed="false">
      <c r="A111" s="2" t="s">
        <v>696</v>
      </c>
      <c r="B111" s="2" t="s">
        <v>697</v>
      </c>
      <c r="C111" s="2" t="s">
        <v>698</v>
      </c>
      <c r="D111" s="2" t="s">
        <v>553</v>
      </c>
      <c r="E111" s="2" t="s">
        <v>554</v>
      </c>
      <c r="F111" s="2" t="s">
        <v>458</v>
      </c>
      <c r="G111" s="2" t="s">
        <v>58</v>
      </c>
      <c r="H111" s="2" t="s">
        <v>59</v>
      </c>
      <c r="I111" s="3" t="n">
        <f aca="false">ROUND(AVERAGE(M111:P111),0)</f>
        <v>4</v>
      </c>
      <c r="J111" s="3" t="n">
        <v>10</v>
      </c>
      <c r="K111" s="2" t="s">
        <v>41</v>
      </c>
      <c r="L111" s="2"/>
      <c r="M111" s="4" t="n">
        <v>4</v>
      </c>
      <c r="N111" s="4" t="n">
        <v>2</v>
      </c>
      <c r="O111" s="4" t="n">
        <v>5</v>
      </c>
      <c r="P111" s="4" t="n">
        <v>3</v>
      </c>
      <c r="Q111" s="2"/>
      <c r="R111" s="2" t="s">
        <v>30</v>
      </c>
      <c r="S111" s="2" t="s">
        <v>699</v>
      </c>
      <c r="T111" s="2" t="s">
        <v>693</v>
      </c>
      <c r="U111" s="2" t="s">
        <v>700</v>
      </c>
      <c r="V111" s="2" t="s">
        <v>701</v>
      </c>
    </row>
    <row r="112" customFormat="false" ht="23.85" hidden="false" customHeight="false" outlineLevel="0" collapsed="false">
      <c r="A112" s="2" t="s">
        <v>702</v>
      </c>
      <c r="B112" s="2" t="s">
        <v>703</v>
      </c>
      <c r="C112" s="2" t="s">
        <v>704</v>
      </c>
      <c r="D112" s="2" t="s">
        <v>457</v>
      </c>
      <c r="E112" s="2"/>
      <c r="F112" s="2" t="s">
        <v>458</v>
      </c>
      <c r="G112" s="2" t="s">
        <v>58</v>
      </c>
      <c r="H112" s="2" t="s">
        <v>59</v>
      </c>
      <c r="I112" s="3" t="n">
        <f aca="false">ROUND(AVERAGE(M112:P112),0)</f>
        <v>3</v>
      </c>
      <c r="J112" s="3" t="n">
        <v>15</v>
      </c>
      <c r="K112" s="2" t="s">
        <v>41</v>
      </c>
      <c r="L112" s="2"/>
      <c r="M112" s="4" t="n">
        <v>2</v>
      </c>
      <c r="N112" s="4" t="n">
        <v>2</v>
      </c>
      <c r="O112" s="4" t="n">
        <v>4</v>
      </c>
      <c r="P112" s="4" t="n">
        <v>5</v>
      </c>
      <c r="Q112" s="2" t="s">
        <v>60</v>
      </c>
      <c r="R112" s="2" t="s">
        <v>41</v>
      </c>
      <c r="S112" s="2" t="s">
        <v>705</v>
      </c>
      <c r="T112" s="2" t="s">
        <v>693</v>
      </c>
      <c r="U112" s="2" t="s">
        <v>706</v>
      </c>
      <c r="V112" s="2" t="s">
        <v>707</v>
      </c>
    </row>
    <row r="113" customFormat="false" ht="23.85" hidden="false" customHeight="false" outlineLevel="0" collapsed="false">
      <c r="A113" s="2" t="s">
        <v>708</v>
      </c>
      <c r="B113" s="2" t="s">
        <v>709</v>
      </c>
      <c r="C113" s="2" t="s">
        <v>710</v>
      </c>
      <c r="D113" s="2" t="s">
        <v>116</v>
      </c>
      <c r="E113" s="2" t="s">
        <v>117</v>
      </c>
      <c r="F113" s="2" t="s">
        <v>118</v>
      </c>
      <c r="G113" s="2" t="s">
        <v>28</v>
      </c>
      <c r="H113" s="2" t="s">
        <v>29</v>
      </c>
      <c r="I113" s="3" t="n">
        <f aca="false">ROUND(AVERAGE(M113:P113),0)</f>
        <v>3</v>
      </c>
      <c r="J113" s="3" t="n">
        <v>20</v>
      </c>
      <c r="K113" s="2" t="s">
        <v>41</v>
      </c>
      <c r="L113" s="2"/>
      <c r="M113" s="4" t="n">
        <v>1</v>
      </c>
      <c r="N113" s="4" t="n">
        <v>5</v>
      </c>
      <c r="O113" s="4" t="n">
        <v>2</v>
      </c>
      <c r="P113" s="4" t="n">
        <v>5</v>
      </c>
      <c r="Q113" s="2" t="s">
        <v>43</v>
      </c>
      <c r="R113" s="2" t="s">
        <v>30</v>
      </c>
      <c r="S113" s="2" t="s">
        <v>711</v>
      </c>
      <c r="T113" s="2" t="s">
        <v>693</v>
      </c>
      <c r="U113" s="2" t="s">
        <v>712</v>
      </c>
      <c r="V113" s="2" t="s">
        <v>713</v>
      </c>
    </row>
    <row r="114" customFormat="false" ht="23.85" hidden="false" customHeight="false" outlineLevel="0" collapsed="false">
      <c r="A114" s="2" t="s">
        <v>714</v>
      </c>
      <c r="B114" s="2" t="s">
        <v>715</v>
      </c>
      <c r="C114" s="2" t="s">
        <v>716</v>
      </c>
      <c r="D114" s="2" t="s">
        <v>116</v>
      </c>
      <c r="E114" s="2" t="s">
        <v>117</v>
      </c>
      <c r="F114" s="2" t="s">
        <v>118</v>
      </c>
      <c r="G114" s="2" t="s">
        <v>28</v>
      </c>
      <c r="H114" s="2" t="s">
        <v>29</v>
      </c>
      <c r="I114" s="3" t="n">
        <f aca="false">ROUND(AVERAGE(M114:P114),0)</f>
        <v>3</v>
      </c>
      <c r="J114" s="3" t="n">
        <v>5</v>
      </c>
      <c r="K114" s="2" t="s">
        <v>30</v>
      </c>
      <c r="L114" s="2"/>
      <c r="M114" s="4" t="n">
        <v>1</v>
      </c>
      <c r="N114" s="4" t="n">
        <v>5</v>
      </c>
      <c r="O114" s="4" t="n">
        <v>2</v>
      </c>
      <c r="P114" s="4" t="n">
        <v>5</v>
      </c>
      <c r="Q114" s="2"/>
      <c r="R114" s="2" t="s">
        <v>30</v>
      </c>
      <c r="S114" s="2" t="s">
        <v>717</v>
      </c>
      <c r="T114" s="2" t="s">
        <v>693</v>
      </c>
      <c r="U114" s="2" t="s">
        <v>718</v>
      </c>
      <c r="V114" s="2" t="s">
        <v>719</v>
      </c>
    </row>
  </sheetData>
  <dataValidations count="6">
    <dataValidation allowBlank="false" errorStyle="stop" operator="between" showDropDown="false" showErrorMessage="false" showInputMessage="false" sqref="D2:D500" type="list">
      <formula1>"prudencia,fortaleza,dominio de sí,justicia,magnanimidad,humildad"</formula1>
      <formula2>0</formula2>
    </dataValidation>
    <dataValidation allowBlank="false" errorStyle="stop" operator="between" showDropDown="false" showErrorMessage="false" showInputMessage="false" sqref="F2:F500" type="list">
      <formula1>"corazon,razon,voluntad"</formula1>
      <formula2>0</formula2>
    </dataValidation>
    <dataValidation allowBlank="false" errorStyle="stop" operator="between" showDropDown="false" showErrorMessage="false" showInputMessage="false" sqref="H2:H500" type="list">
      <formula1>"accion,omision,contemplacion"</formula1>
      <formula2>0</formula2>
    </dataValidation>
    <dataValidation allowBlank="false" errorStyle="stop" operator="between" showDropDown="false" showErrorMessage="false" showInputMessage="false" sqref="G2:G500" type="list">
      <formula1>"trabajo,familia,amistad,vida interior,cultura,cuerpo,sociedad"</formula1>
      <formula2>0</formula2>
    </dataValidation>
    <dataValidation allowBlank="false" errorStyle="stop" operator="between" showDropDown="false" showErrorMessage="false" showInputMessage="false" sqref="M2:P500" type="whole">
      <formula1>1</formula1>
      <formula2>5</formula2>
    </dataValidation>
    <dataValidation allowBlank="false" errorStyle="stop" operator="between" showDropDown="false" showErrorMessage="false" showInputMessage="false" sqref="K2:K500 R2:R500" type="list">
      <formula1>"sí,no"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28"/>
  </cols>
  <sheetData>
    <row r="1" customFormat="false" ht="15" hidden="false" customHeight="false" outlineLevel="0" collapsed="false">
      <c r="A1" s="5" t="s">
        <v>720</v>
      </c>
    </row>
    <row r="2" customFormat="false" ht="15" hidden="false" customHeight="false" outlineLevel="0" collapsed="false">
      <c r="A2" s="6" t="s">
        <v>3</v>
      </c>
      <c r="B2" s="6" t="s">
        <v>721</v>
      </c>
      <c r="C2" s="6" t="s">
        <v>5</v>
      </c>
      <c r="D2" s="6" t="s">
        <v>722</v>
      </c>
      <c r="E2" s="6" t="s">
        <v>723</v>
      </c>
    </row>
    <row r="3" customFormat="false" ht="15" hidden="false" customHeight="false" outlineLevel="0" collapsed="false">
      <c r="A3" s="2" t="s">
        <v>25</v>
      </c>
      <c r="B3" s="2" t="s">
        <v>724</v>
      </c>
      <c r="C3" s="2" t="s">
        <v>27</v>
      </c>
      <c r="D3" s="2" t="s">
        <v>725</v>
      </c>
      <c r="E3" s="2" t="s">
        <v>273</v>
      </c>
    </row>
    <row r="4" customFormat="false" ht="15" hidden="false" customHeight="false" outlineLevel="0" collapsed="false">
      <c r="A4" s="2" t="s">
        <v>116</v>
      </c>
      <c r="B4" s="2" t="s">
        <v>726</v>
      </c>
      <c r="C4" s="2" t="s">
        <v>118</v>
      </c>
      <c r="D4" s="2" t="s">
        <v>727</v>
      </c>
      <c r="E4" s="2" t="s">
        <v>273</v>
      </c>
    </row>
    <row r="5" customFormat="false" ht="15" hidden="false" customHeight="false" outlineLevel="0" collapsed="false">
      <c r="A5" s="2" t="s">
        <v>286</v>
      </c>
      <c r="B5" s="2" t="s">
        <v>728</v>
      </c>
      <c r="C5" s="2" t="s">
        <v>118</v>
      </c>
      <c r="D5" s="2" t="s">
        <v>729</v>
      </c>
      <c r="E5" s="2" t="s">
        <v>273</v>
      </c>
    </row>
    <row r="6" customFormat="false" ht="15" hidden="false" customHeight="false" outlineLevel="0" collapsed="false">
      <c r="A6" s="2" t="s">
        <v>374</v>
      </c>
      <c r="B6" s="2" t="s">
        <v>730</v>
      </c>
      <c r="C6" s="2" t="s">
        <v>118</v>
      </c>
      <c r="D6" s="2" t="s">
        <v>731</v>
      </c>
      <c r="E6" s="2" t="s">
        <v>273</v>
      </c>
    </row>
    <row r="7" customFormat="false" ht="15" hidden="false" customHeight="false" outlineLevel="0" collapsed="false">
      <c r="A7" s="2" t="s">
        <v>457</v>
      </c>
      <c r="B7" s="2" t="s">
        <v>732</v>
      </c>
      <c r="C7" s="2" t="s">
        <v>458</v>
      </c>
      <c r="D7" s="2" t="s">
        <v>733</v>
      </c>
      <c r="E7" s="2" t="s">
        <v>273</v>
      </c>
    </row>
    <row r="8" customFormat="false" ht="23.85" hidden="false" customHeight="false" outlineLevel="0" collapsed="false">
      <c r="A8" s="2" t="s">
        <v>553</v>
      </c>
      <c r="B8" s="2" t="s">
        <v>734</v>
      </c>
      <c r="C8" s="2" t="s">
        <v>458</v>
      </c>
      <c r="D8" s="2" t="s">
        <v>735</v>
      </c>
      <c r="E8" s="2" t="s">
        <v>273</v>
      </c>
    </row>
    <row r="11" customFormat="false" ht="15" hidden="false" customHeight="false" outlineLevel="0" collapsed="false">
      <c r="A11" s="5" t="s">
        <v>736</v>
      </c>
    </row>
    <row r="12" customFormat="false" ht="15" hidden="false" customHeight="false" outlineLevel="0" collapsed="false">
      <c r="A12" s="6" t="s">
        <v>737</v>
      </c>
      <c r="B12" s="6" t="s">
        <v>738</v>
      </c>
      <c r="C12" s="6" t="s">
        <v>739</v>
      </c>
      <c r="D12" s="6" t="s">
        <v>740</v>
      </c>
      <c r="E12" s="6" t="s">
        <v>723</v>
      </c>
    </row>
    <row r="13" customFormat="false" ht="23.85" hidden="false" customHeight="false" outlineLevel="0" collapsed="false">
      <c r="A13" s="2" t="s">
        <v>741</v>
      </c>
      <c r="B13" s="2" t="s">
        <v>742</v>
      </c>
      <c r="C13" s="2" t="s">
        <v>553</v>
      </c>
      <c r="D13" s="2" t="s">
        <v>743</v>
      </c>
      <c r="E13" s="2" t="s">
        <v>34</v>
      </c>
    </row>
    <row r="14" customFormat="false" ht="23.85" hidden="false" customHeight="false" outlineLevel="0" collapsed="false">
      <c r="A14" s="2" t="s">
        <v>744</v>
      </c>
      <c r="B14" s="2" t="s">
        <v>745</v>
      </c>
      <c r="C14" s="2" t="s">
        <v>117</v>
      </c>
      <c r="D14" s="2" t="s">
        <v>746</v>
      </c>
      <c r="E14" s="2" t="s">
        <v>34</v>
      </c>
    </row>
    <row r="15" customFormat="false" ht="23.85" hidden="false" customHeight="false" outlineLevel="0" collapsed="false">
      <c r="A15" s="2" t="s">
        <v>747</v>
      </c>
      <c r="B15" s="2" t="s">
        <v>748</v>
      </c>
      <c r="C15" s="2" t="s">
        <v>190</v>
      </c>
      <c r="D15" s="2" t="s">
        <v>749</v>
      </c>
      <c r="E15" s="2" t="s">
        <v>34</v>
      </c>
    </row>
    <row r="16" customFormat="false" ht="23.85" hidden="false" customHeight="false" outlineLevel="0" collapsed="false">
      <c r="A16" s="2" t="s">
        <v>750</v>
      </c>
      <c r="B16" s="2" t="s">
        <v>751</v>
      </c>
      <c r="C16" s="2" t="s">
        <v>457</v>
      </c>
      <c r="D16" s="2" t="s">
        <v>752</v>
      </c>
      <c r="E16" s="2" t="s">
        <v>34</v>
      </c>
    </row>
    <row r="19" customFormat="false" ht="15" hidden="false" customHeight="false" outlineLevel="0" collapsed="false">
      <c r="A19" s="5" t="s">
        <v>753</v>
      </c>
    </row>
    <row r="20" customFormat="false" ht="15" hidden="false" customHeight="false" outlineLevel="0" collapsed="false">
      <c r="A20" s="6" t="s">
        <v>754</v>
      </c>
      <c r="B20" s="6" t="s">
        <v>755</v>
      </c>
      <c r="C20" s="6" t="s">
        <v>739</v>
      </c>
      <c r="D20" s="6" t="s">
        <v>723</v>
      </c>
    </row>
    <row r="21" customFormat="false" ht="15" hidden="false" customHeight="false" outlineLevel="0" collapsed="false">
      <c r="A21" s="2" t="s">
        <v>756</v>
      </c>
      <c r="B21" s="2" t="s">
        <v>744</v>
      </c>
      <c r="C21" s="2" t="s">
        <v>117</v>
      </c>
      <c r="D21" s="2" t="s">
        <v>693</v>
      </c>
    </row>
    <row r="22" customFormat="false" ht="15" hidden="false" customHeight="false" outlineLevel="0" collapsed="false">
      <c r="A22" s="2" t="s">
        <v>757</v>
      </c>
      <c r="B22" s="2" t="s">
        <v>758</v>
      </c>
      <c r="C22" s="2" t="s">
        <v>759</v>
      </c>
      <c r="D22" s="2" t="s">
        <v>693</v>
      </c>
    </row>
    <row r="23" customFormat="false" ht="15" hidden="false" customHeight="false" outlineLevel="0" collapsed="false">
      <c r="A23" s="2" t="s">
        <v>760</v>
      </c>
      <c r="B23" s="2" t="s">
        <v>761</v>
      </c>
      <c r="C23" s="2" t="s">
        <v>117</v>
      </c>
      <c r="D23" s="2" t="s">
        <v>693</v>
      </c>
    </row>
    <row r="24" customFormat="false" ht="15" hidden="false" customHeight="false" outlineLevel="0" collapsed="false">
      <c r="A24" s="2" t="s">
        <v>762</v>
      </c>
      <c r="B24" s="2" t="s">
        <v>747</v>
      </c>
      <c r="C24" s="2" t="s">
        <v>190</v>
      </c>
      <c r="D24" s="2" t="s">
        <v>693</v>
      </c>
    </row>
    <row r="25" customFormat="false" ht="15" hidden="false" customHeight="false" outlineLevel="0" collapsed="false">
      <c r="A25" s="2" t="s">
        <v>763</v>
      </c>
      <c r="B25" s="2" t="s">
        <v>764</v>
      </c>
      <c r="C25" s="2" t="s">
        <v>765</v>
      </c>
      <c r="D25" s="2" t="s">
        <v>693</v>
      </c>
    </row>
    <row r="26" customFormat="false" ht="15" hidden="false" customHeight="false" outlineLevel="0" collapsed="false">
      <c r="A26" s="2" t="s">
        <v>766</v>
      </c>
      <c r="B26" s="2" t="s">
        <v>767</v>
      </c>
      <c r="C26" s="2" t="s">
        <v>457</v>
      </c>
      <c r="D26" s="2" t="s">
        <v>693</v>
      </c>
    </row>
    <row r="27" customFormat="false" ht="15" hidden="false" customHeight="false" outlineLevel="0" collapsed="false">
      <c r="A27" s="2" t="s">
        <v>768</v>
      </c>
      <c r="B27" s="2" t="s">
        <v>750</v>
      </c>
      <c r="C27" s="2" t="s">
        <v>457</v>
      </c>
      <c r="D27" s="2" t="s">
        <v>693</v>
      </c>
    </row>
    <row r="28" customFormat="false" ht="15" hidden="false" customHeight="false" outlineLevel="0" collapsed="false">
      <c r="A28" s="2" t="s">
        <v>769</v>
      </c>
      <c r="B28" s="2" t="s">
        <v>770</v>
      </c>
      <c r="C28" s="2" t="s">
        <v>117</v>
      </c>
      <c r="D28" s="2" t="s">
        <v>693</v>
      </c>
    </row>
    <row r="31" customFormat="false" ht="15" hidden="false" customHeight="false" outlineLevel="0" collapsed="false">
      <c r="A31" s="5" t="s">
        <v>771</v>
      </c>
    </row>
    <row r="32" customFormat="false" ht="15" hidden="false" customHeight="false" outlineLevel="0" collapsed="false">
      <c r="A32" s="6" t="s">
        <v>772</v>
      </c>
      <c r="B32" s="6" t="s">
        <v>773</v>
      </c>
    </row>
    <row r="33" customFormat="false" ht="23.85" hidden="false" customHeight="false" outlineLevel="0" collapsed="false">
      <c r="A33" s="2" t="s">
        <v>28</v>
      </c>
      <c r="B33" s="2" t="s">
        <v>774</v>
      </c>
    </row>
    <row r="34" customFormat="false" ht="15" hidden="false" customHeight="false" outlineLevel="0" collapsed="false">
      <c r="A34" s="2" t="s">
        <v>163</v>
      </c>
      <c r="B34" s="2" t="s">
        <v>775</v>
      </c>
    </row>
    <row r="35" customFormat="false" ht="15" hidden="false" customHeight="false" outlineLevel="0" collapsed="false">
      <c r="A35" s="2" t="s">
        <v>125</v>
      </c>
      <c r="B35" s="2" t="s">
        <v>776</v>
      </c>
    </row>
    <row r="36" customFormat="false" ht="23.85" hidden="false" customHeight="false" outlineLevel="0" collapsed="false">
      <c r="A36" s="2" t="s">
        <v>58</v>
      </c>
      <c r="B36" s="2" t="s">
        <v>777</v>
      </c>
    </row>
    <row r="37" customFormat="false" ht="23.85" hidden="false" customHeight="false" outlineLevel="0" collapsed="false">
      <c r="A37" s="2" t="s">
        <v>316</v>
      </c>
      <c r="B37" s="2" t="s">
        <v>778</v>
      </c>
    </row>
    <row r="38" customFormat="false" ht="23.85" hidden="false" customHeight="false" outlineLevel="0" collapsed="false">
      <c r="A38" s="2" t="s">
        <v>230</v>
      </c>
      <c r="B38" s="2" t="s">
        <v>779</v>
      </c>
    </row>
    <row r="39" customFormat="false" ht="23.85" hidden="false" customHeight="false" outlineLevel="0" collapsed="false">
      <c r="A39" s="2" t="s">
        <v>427</v>
      </c>
      <c r="B39" s="2" t="s">
        <v>780</v>
      </c>
    </row>
    <row r="42" customFormat="false" ht="15" hidden="false" customHeight="false" outlineLevel="0" collapsed="false">
      <c r="A42" s="5" t="s">
        <v>781</v>
      </c>
    </row>
    <row r="43" customFormat="false" ht="15" hidden="false" customHeight="false" outlineLevel="0" collapsed="false">
      <c r="A43" s="6" t="s">
        <v>782</v>
      </c>
      <c r="B43" s="6" t="s">
        <v>773</v>
      </c>
    </row>
    <row r="44" customFormat="false" ht="23.85" hidden="false" customHeight="false" outlineLevel="0" collapsed="false">
      <c r="A44" s="2" t="s">
        <v>60</v>
      </c>
      <c r="B44" s="2" t="s">
        <v>783</v>
      </c>
    </row>
    <row r="45" customFormat="false" ht="23.85" hidden="false" customHeight="false" outlineLevel="0" collapsed="false">
      <c r="A45" s="2" t="s">
        <v>43</v>
      </c>
      <c r="B45" s="2" t="s">
        <v>784</v>
      </c>
    </row>
    <row r="46" customFormat="false" ht="15" hidden="false" customHeight="false" outlineLevel="0" collapsed="false">
      <c r="A46" s="2" t="s">
        <v>175</v>
      </c>
      <c r="B46" s="2" t="s">
        <v>785</v>
      </c>
    </row>
    <row r="47" customFormat="false" ht="23.85" hidden="false" customHeight="false" outlineLevel="0" collapsed="false">
      <c r="A47" s="2" t="s">
        <v>211</v>
      </c>
      <c r="B47" s="2" t="s">
        <v>786</v>
      </c>
    </row>
    <row r="48" customFormat="false" ht="15" hidden="false" customHeight="false" outlineLevel="0" collapsed="false">
      <c r="A48" s="2" t="s">
        <v>32</v>
      </c>
      <c r="B48" s="2" t="s">
        <v>787</v>
      </c>
    </row>
    <row r="49" customFormat="false" ht="23.85" hidden="false" customHeight="false" outlineLevel="0" collapsed="false">
      <c r="A49" s="2" t="s">
        <v>629</v>
      </c>
      <c r="B49" s="2" t="s">
        <v>788</v>
      </c>
    </row>
    <row r="50" customFormat="false" ht="23.85" hidden="false" customHeight="false" outlineLevel="0" collapsed="false">
      <c r="A50" s="2" t="s">
        <v>545</v>
      </c>
      <c r="B50" s="2" t="s">
        <v>789</v>
      </c>
    </row>
    <row r="53" customFormat="false" ht="15" hidden="false" customHeight="false" outlineLevel="0" collapsed="false">
      <c r="A53" s="5" t="s">
        <v>790</v>
      </c>
    </row>
    <row r="54" customFormat="false" ht="15" hidden="false" customHeight="false" outlineLevel="0" collapsed="false">
      <c r="A54" s="6" t="s">
        <v>7</v>
      </c>
      <c r="B54" s="6" t="s">
        <v>773</v>
      </c>
    </row>
    <row r="55" customFormat="false" ht="15" hidden="false" customHeight="false" outlineLevel="0" collapsed="false">
      <c r="A55" s="2" t="s">
        <v>29</v>
      </c>
      <c r="B55" s="2" t="s">
        <v>791</v>
      </c>
    </row>
    <row r="56" customFormat="false" ht="15" hidden="false" customHeight="false" outlineLevel="0" collapsed="false">
      <c r="A56" s="2" t="s">
        <v>217</v>
      </c>
      <c r="B56" s="2" t="s">
        <v>792</v>
      </c>
    </row>
    <row r="57" customFormat="false" ht="23.85" hidden="false" customHeight="false" outlineLevel="0" collapsed="false">
      <c r="A57" s="2" t="s">
        <v>59</v>
      </c>
      <c r="B57" s="2" t="s">
        <v>793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7" t="s">
        <v>794</v>
      </c>
      <c r="B1" s="8"/>
      <c r="C1" s="8"/>
      <c r="D1" s="8"/>
    </row>
    <row r="2" customFormat="false" ht="15" hidden="false" customHeight="false" outlineLevel="0" collapsed="false">
      <c r="A2" s="8" t="s">
        <v>795</v>
      </c>
      <c r="B2" s="8" t="n">
        <f aca="false">COUNTA(Retos!A2:A114)</f>
        <v>113</v>
      </c>
      <c r="C2" s="8"/>
      <c r="D2" s="8"/>
    </row>
    <row r="3" customFormat="false" ht="15" hidden="false" customHeight="false" outlineLevel="0" collapsed="false">
      <c r="A3" s="8"/>
      <c r="B3" s="8"/>
      <c r="C3" s="8"/>
      <c r="D3" s="8"/>
    </row>
    <row r="4" customFormat="false" ht="15" hidden="false" customHeight="false" outlineLevel="0" collapsed="false">
      <c r="A4" s="9" t="s">
        <v>3</v>
      </c>
      <c r="B4" s="9" t="s">
        <v>796</v>
      </c>
      <c r="C4" s="9" t="s">
        <v>797</v>
      </c>
      <c r="D4" s="9" t="s">
        <v>798</v>
      </c>
    </row>
    <row r="5" customFormat="false" ht="15" hidden="false" customHeight="false" outlineLevel="0" collapsed="false">
      <c r="A5" s="8" t="s">
        <v>25</v>
      </c>
      <c r="B5" s="8" t="n">
        <f aca="false">COUNTIF(Retos!$D$2:$D$114,A5)</f>
        <v>13</v>
      </c>
      <c r="C5" s="8" t="n">
        <f aca="false">IFERROR(ROUND(AVERAGEIF(Retos!$D$2:$D$114,A5,Retos!$I$2:$I$114),1),"")</f>
        <v>3.1</v>
      </c>
      <c r="D5" s="10" t="n">
        <f aca="false">IFERROR(B5/$B$2,0)</f>
        <v>0.115044247787611</v>
      </c>
    </row>
    <row r="6" customFormat="false" ht="15" hidden="false" customHeight="false" outlineLevel="0" collapsed="false">
      <c r="A6" s="8" t="s">
        <v>116</v>
      </c>
      <c r="B6" s="8" t="n">
        <f aca="false">COUNTIF(Retos!$D$2:$D$114,A6)</f>
        <v>29</v>
      </c>
      <c r="C6" s="8" t="n">
        <f aca="false">IFERROR(ROUND(AVERAGEIF(Retos!$D$2:$D$114,A6,Retos!$I$2:$I$114),1),"")</f>
        <v>3.3</v>
      </c>
      <c r="D6" s="10" t="n">
        <f aca="false">IFERROR(B6/$B$2,0)</f>
        <v>0.256637168141593</v>
      </c>
    </row>
    <row r="7" customFormat="false" ht="15" hidden="false" customHeight="false" outlineLevel="0" collapsed="false">
      <c r="A7" s="8" t="s">
        <v>286</v>
      </c>
      <c r="B7" s="8" t="n">
        <f aca="false">COUNTIF(Retos!$D$2:$D$114,A7)</f>
        <v>15</v>
      </c>
      <c r="C7" s="8" t="n">
        <f aca="false">IFERROR(ROUND(AVERAGEIF(Retos!$D$2:$D$114,A7,Retos!$I$2:$I$114),1),"")</f>
        <v>3.1</v>
      </c>
      <c r="D7" s="10" t="n">
        <f aca="false">IFERROR(B7/$B$2,0)</f>
        <v>0.132743362831858</v>
      </c>
    </row>
    <row r="8" customFormat="false" ht="15" hidden="false" customHeight="false" outlineLevel="0" collapsed="false">
      <c r="A8" s="8" t="s">
        <v>374</v>
      </c>
      <c r="B8" s="8" t="n">
        <f aca="false">COUNTIF(Retos!$D$2:$D$114,A8)</f>
        <v>15</v>
      </c>
      <c r="C8" s="8" t="n">
        <f aca="false">IFERROR(ROUND(AVERAGEIF(Retos!$D$2:$D$114,A8,Retos!$I$2:$I$114),1),"")</f>
        <v>3.2</v>
      </c>
      <c r="D8" s="10" t="n">
        <f aca="false">IFERROR(B8/$B$2,0)</f>
        <v>0.132743362831858</v>
      </c>
    </row>
    <row r="9" customFormat="false" ht="15" hidden="false" customHeight="false" outlineLevel="0" collapsed="false">
      <c r="A9" s="8" t="s">
        <v>457</v>
      </c>
      <c r="B9" s="8" t="n">
        <f aca="false">COUNTIF(Retos!$D$2:$D$114,A9)</f>
        <v>20</v>
      </c>
      <c r="C9" s="8" t="n">
        <f aca="false">IFERROR(ROUND(AVERAGEIF(Retos!$D$2:$D$114,A9,Retos!$I$2:$I$114),1),"")</f>
        <v>3.2</v>
      </c>
      <c r="D9" s="10" t="n">
        <f aca="false">IFERROR(B9/$B$2,0)</f>
        <v>0.176991150442478</v>
      </c>
    </row>
    <row r="10" customFormat="false" ht="15" hidden="false" customHeight="false" outlineLevel="0" collapsed="false">
      <c r="A10" s="8" t="s">
        <v>553</v>
      </c>
      <c r="B10" s="8" t="n">
        <f aca="false">COUNTIF(Retos!$D$2:$D$114,A10)</f>
        <v>21</v>
      </c>
      <c r="C10" s="8" t="n">
        <f aca="false">IFERROR(ROUND(AVERAGEIF(Retos!$D$2:$D$114,A10,Retos!$I$2:$I$114),1),"")</f>
        <v>3.3</v>
      </c>
      <c r="D10" s="10" t="n">
        <f aca="false">IFERROR(B10/$B$2,0)</f>
        <v>0.185840707964602</v>
      </c>
    </row>
    <row r="11" customFormat="false" ht="15" hidden="false" customHeight="false" outlineLevel="0" collapsed="false">
      <c r="A11" s="5" t="s">
        <v>799</v>
      </c>
      <c r="B11" s="5" t="n">
        <f aca="false">SUM(B5:B10)</f>
        <v>113</v>
      </c>
      <c r="C11" s="8"/>
      <c r="D11" s="8"/>
    </row>
    <row r="12" customFormat="false" ht="15" hidden="false" customHeight="false" outlineLevel="0" collapsed="false">
      <c r="A12" s="8"/>
      <c r="B12" s="8"/>
      <c r="C12" s="8"/>
      <c r="D12" s="8"/>
    </row>
    <row r="13" customFormat="false" ht="15" hidden="false" customHeight="false" outlineLevel="0" collapsed="false">
      <c r="A13" s="9" t="s">
        <v>772</v>
      </c>
      <c r="B13" s="9" t="s">
        <v>796</v>
      </c>
      <c r="C13" s="8"/>
      <c r="D13" s="8"/>
    </row>
    <row r="14" customFormat="false" ht="15" hidden="false" customHeight="false" outlineLevel="0" collapsed="false">
      <c r="A14" s="8" t="s">
        <v>28</v>
      </c>
      <c r="B14" s="8" t="n">
        <f aca="false">COUNTIF(Retos!$G$2:$G$114,A14)</f>
        <v>56</v>
      </c>
      <c r="C14" s="8"/>
      <c r="D14" s="8"/>
    </row>
    <row r="15" customFormat="false" ht="15" hidden="false" customHeight="false" outlineLevel="0" collapsed="false">
      <c r="A15" s="8" t="s">
        <v>163</v>
      </c>
      <c r="B15" s="8" t="n">
        <f aca="false">COUNTIF(Retos!$G$2:$G$114,A15)</f>
        <v>11</v>
      </c>
      <c r="C15" s="8"/>
      <c r="D15" s="8"/>
    </row>
    <row r="16" customFormat="false" ht="15" hidden="false" customHeight="false" outlineLevel="0" collapsed="false">
      <c r="A16" s="8" t="s">
        <v>125</v>
      </c>
      <c r="B16" s="8" t="n">
        <f aca="false">COUNTIF(Retos!$G$2:$G$114,A16)</f>
        <v>10</v>
      </c>
      <c r="C16" s="8"/>
      <c r="D16" s="8"/>
    </row>
    <row r="17" customFormat="false" ht="15" hidden="false" customHeight="false" outlineLevel="0" collapsed="false">
      <c r="A17" s="8" t="s">
        <v>58</v>
      </c>
      <c r="B17" s="8" t="n">
        <f aca="false">COUNTIF(Retos!$G$2:$G$114,A17)</f>
        <v>23</v>
      </c>
      <c r="C17" s="8"/>
      <c r="D17" s="8"/>
    </row>
    <row r="18" customFormat="false" ht="15" hidden="false" customHeight="false" outlineLevel="0" collapsed="false">
      <c r="A18" s="8" t="s">
        <v>316</v>
      </c>
      <c r="B18" s="8" t="n">
        <f aca="false">COUNTIF(Retos!$G$2:$G$114,A18)</f>
        <v>5</v>
      </c>
      <c r="C18" s="8"/>
      <c r="D18" s="8"/>
    </row>
    <row r="19" customFormat="false" ht="15" hidden="false" customHeight="false" outlineLevel="0" collapsed="false">
      <c r="A19" s="8" t="s">
        <v>230</v>
      </c>
      <c r="B19" s="8" t="n">
        <f aca="false">COUNTIF(Retos!$G$2:$G$114,A19)</f>
        <v>3</v>
      </c>
      <c r="C19" s="8"/>
      <c r="D19" s="8"/>
    </row>
    <row r="20" customFormat="false" ht="15" hidden="false" customHeight="false" outlineLevel="0" collapsed="false">
      <c r="A20" s="8" t="s">
        <v>427</v>
      </c>
      <c r="B20" s="8" t="n">
        <f aca="false">COUNTIF(Retos!$G$2:$G$114,A20)</f>
        <v>5</v>
      </c>
      <c r="C20" s="8"/>
      <c r="D20" s="8"/>
    </row>
    <row r="21" customFormat="false" ht="15" hidden="false" customHeight="false" outlineLevel="0" collapsed="false">
      <c r="A21" s="8"/>
      <c r="B21" s="8"/>
      <c r="C21" s="8"/>
      <c r="D21" s="8"/>
    </row>
    <row r="22" customFormat="false" ht="15" hidden="false" customHeight="false" outlineLevel="0" collapsed="false">
      <c r="A22" s="8"/>
      <c r="B22" s="8"/>
      <c r="C22" s="8"/>
      <c r="D22" s="8"/>
    </row>
    <row r="23" customFormat="false" ht="15" hidden="false" customHeight="false" outlineLevel="0" collapsed="false">
      <c r="A23" s="9" t="s">
        <v>7</v>
      </c>
      <c r="B23" s="9" t="s">
        <v>796</v>
      </c>
      <c r="C23" s="8"/>
      <c r="D23" s="8"/>
    </row>
    <row r="24" customFormat="false" ht="15" hidden="false" customHeight="false" outlineLevel="0" collapsed="false">
      <c r="A24" s="8" t="s">
        <v>29</v>
      </c>
      <c r="B24" s="8" t="n">
        <f aca="false">COUNTIF(Retos!$H$2:$H$114,A24)</f>
        <v>81</v>
      </c>
      <c r="C24" s="8"/>
      <c r="D24" s="8"/>
    </row>
    <row r="25" customFormat="false" ht="15" hidden="false" customHeight="false" outlineLevel="0" collapsed="false">
      <c r="A25" s="8" t="s">
        <v>217</v>
      </c>
      <c r="B25" s="8" t="n">
        <f aca="false">COUNTIF(Retos!$H$2:$H$114,A25)</f>
        <v>14</v>
      </c>
      <c r="C25" s="8"/>
      <c r="D25" s="8"/>
    </row>
    <row r="26" customFormat="false" ht="15" hidden="false" customHeight="false" outlineLevel="0" collapsed="false">
      <c r="A26" s="8" t="s">
        <v>59</v>
      </c>
      <c r="B26" s="8" t="n">
        <f aca="false">COUNTIF(Retos!$H$2:$H$114,A26)</f>
        <v>18</v>
      </c>
      <c r="C26" s="8"/>
      <c r="D26" s="8"/>
    </row>
    <row r="27" customFormat="false" ht="15" hidden="false" customHeight="false" outlineLevel="0" collapsed="false">
      <c r="A27" s="8"/>
      <c r="B27" s="8"/>
      <c r="C27" s="8"/>
      <c r="D27" s="8"/>
    </row>
    <row r="28" customFormat="false" ht="15" hidden="false" customHeight="false" outlineLevel="0" collapsed="false">
      <c r="A28" s="8"/>
      <c r="B28" s="8"/>
      <c r="C28" s="8"/>
      <c r="D28" s="8"/>
    </row>
    <row r="29" customFormat="false" ht="23.85" hidden="false" customHeight="false" outlineLevel="0" collapsed="false">
      <c r="A29" s="11" t="s">
        <v>737</v>
      </c>
      <c r="B29" s="11" t="s">
        <v>800</v>
      </c>
      <c r="C29" s="11" t="s">
        <v>801</v>
      </c>
      <c r="D29" s="8"/>
    </row>
    <row r="30" customFormat="false" ht="15" hidden="false" customHeight="false" outlineLevel="0" collapsed="false">
      <c r="A30" s="8" t="s">
        <v>741</v>
      </c>
      <c r="B30" s="8" t="n">
        <f aca="false">COUNTIF(Retos!$M$2:$M$114,"&gt;=4")</f>
        <v>46</v>
      </c>
      <c r="C30" s="8" t="n">
        <f aca="false">ROUND(AVERAGE(Retos!$M$2:$M$114),2)</f>
        <v>3.14</v>
      </c>
      <c r="D30" s="8"/>
    </row>
    <row r="31" customFormat="false" ht="15" hidden="false" customHeight="false" outlineLevel="0" collapsed="false">
      <c r="A31" s="8" t="s">
        <v>744</v>
      </c>
      <c r="B31" s="8" t="n">
        <f aca="false">COUNTIF(Retos!$N$2:$N$114,"&gt;=4")</f>
        <v>47</v>
      </c>
      <c r="C31" s="8" t="n">
        <f aca="false">ROUND(AVERAGE(Retos!$N$2:$N$114),2)</f>
        <v>3.33</v>
      </c>
      <c r="D31" s="8"/>
    </row>
    <row r="32" customFormat="false" ht="15" hidden="false" customHeight="false" outlineLevel="0" collapsed="false">
      <c r="A32" s="8" t="s">
        <v>747</v>
      </c>
      <c r="B32" s="8" t="n">
        <f aca="false">COUNTIF(Retos!$O$2:$O$114,"&gt;=4")</f>
        <v>36</v>
      </c>
      <c r="C32" s="8" t="n">
        <f aca="false">ROUND(AVERAGE(Retos!$O$2:$O$114),2)</f>
        <v>3.04</v>
      </c>
      <c r="D32" s="8"/>
    </row>
    <row r="33" customFormat="false" ht="15" hidden="false" customHeight="false" outlineLevel="0" collapsed="false">
      <c r="A33" s="8" t="s">
        <v>750</v>
      </c>
      <c r="B33" s="8" t="n">
        <f aca="false">COUNTIF(Retos!$P$2:$P$114,"&gt;=4")</f>
        <v>40</v>
      </c>
      <c r="C33" s="8" t="n">
        <f aca="false">ROUND(AVERAGE(Retos!$P$2:$P$114),2)</f>
        <v>3.05</v>
      </c>
      <c r="D33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0"/>
  </cols>
  <sheetData>
    <row r="1" customFormat="false" ht="23.85" hidden="false" customHeight="false" outlineLevel="0" collapsed="false">
      <c r="A1" s="12" t="s">
        <v>802</v>
      </c>
      <c r="B1" s="13" t="s">
        <v>803</v>
      </c>
    </row>
    <row r="2" customFormat="false" ht="15" hidden="false" customHeight="false" outlineLevel="0" collapsed="false">
      <c r="A2" s="12" t="s">
        <v>0</v>
      </c>
      <c r="B2" s="13" t="s">
        <v>804</v>
      </c>
    </row>
    <row r="3" customFormat="false" ht="15" hidden="false" customHeight="false" outlineLevel="0" collapsed="false">
      <c r="A3" s="12" t="s">
        <v>805</v>
      </c>
      <c r="B3" s="13" t="s">
        <v>806</v>
      </c>
    </row>
    <row r="4" customFormat="false" ht="23.85" hidden="false" customHeight="false" outlineLevel="0" collapsed="false">
      <c r="A4" s="12" t="s">
        <v>807</v>
      </c>
      <c r="B4" s="13" t="s">
        <v>808</v>
      </c>
    </row>
    <row r="5" customFormat="false" ht="15" hidden="false" customHeight="false" outlineLevel="0" collapsed="false">
      <c r="A5" s="12" t="s">
        <v>8</v>
      </c>
      <c r="B5" s="13" t="s">
        <v>809</v>
      </c>
    </row>
    <row r="6" customFormat="false" ht="23.85" hidden="false" customHeight="false" outlineLevel="0" collapsed="false">
      <c r="A6" s="12" t="s">
        <v>810</v>
      </c>
      <c r="B6" s="13" t="s">
        <v>811</v>
      </c>
    </row>
    <row r="7" customFormat="false" ht="15" hidden="false" customHeight="false" outlineLevel="0" collapsed="false">
      <c r="A7" s="12" t="s">
        <v>11</v>
      </c>
      <c r="B7" s="13" t="s">
        <v>812</v>
      </c>
    </row>
    <row r="8" customFormat="false" ht="15" hidden="false" customHeight="false" outlineLevel="0" collapsed="false">
      <c r="A8" s="12" t="s">
        <v>16</v>
      </c>
      <c r="B8" s="13" t="s">
        <v>813</v>
      </c>
    </row>
    <row r="9" customFormat="false" ht="15" hidden="false" customHeight="false" outlineLevel="0" collapsed="false">
      <c r="A9" s="12" t="s">
        <v>17</v>
      </c>
      <c r="B9" s="13" t="s">
        <v>814</v>
      </c>
    </row>
    <row r="10" customFormat="false" ht="23.85" hidden="false" customHeight="false" outlineLevel="0" collapsed="false">
      <c r="A10" s="12" t="s">
        <v>18</v>
      </c>
      <c r="B10" s="13" t="s">
        <v>815</v>
      </c>
    </row>
    <row r="11" customFormat="false" ht="15" hidden="false" customHeight="false" outlineLevel="0" collapsed="false">
      <c r="A11" s="12" t="s">
        <v>723</v>
      </c>
      <c r="B11" s="13" t="s">
        <v>816</v>
      </c>
    </row>
    <row r="12" customFormat="false" ht="23.85" hidden="false" customHeight="false" outlineLevel="0" collapsed="false">
      <c r="A12" s="12" t="s">
        <v>817</v>
      </c>
      <c r="B12" s="13" t="s">
        <v>818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2026-10-31T16:03:34Z</dcterms:created>
  <dc:creator>openpyxl</dc:creator>
  <dc:description/>
  <dc:language>en-US</dc:language>
  <cp:lastModifiedBy/>
  <dcterms:modified xsi:type="dcterms:W3CDTF">2026-10-31T16:03:34Z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